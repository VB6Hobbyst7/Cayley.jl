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drawings/drawing6.xml" ContentType="application/vnd.openxmlformats-officedocument.drawing+xml"/>
  <Override PartName="/xl/ctrlProps/ctrlProp4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updateLinks="always" codeName="ThisWorkbook"/>
  <mc:AlternateContent xmlns:mc="http://schemas.openxmlformats.org/markup-compatibility/2006">
    <mc:Choice Requires="x15">
      <x15ac:absPath xmlns:x15ac="http://schemas.microsoft.com/office/spreadsheetml/2010/11/ac" url="C:\Projects\Cayley\workbooks\"/>
    </mc:Choice>
  </mc:AlternateContent>
  <xr:revisionPtr revIDLastSave="0" documentId="13_ncr:1_{2B973A06-36C0-4287-A030-40354DEA37A2}" xr6:coauthVersionLast="47" xr6:coauthVersionMax="47" xr10:uidLastSave="{00000000-0000-0000-0000-000000000000}"/>
  <bookViews>
    <workbookView xWindow="32302" yWindow="-98" windowWidth="38596" windowHeight="21075" tabRatio="816" xr2:uid="{00000000-000D-0000-FFFF-FFFF00000000}"/>
  </bookViews>
  <sheets>
    <sheet name="Portfolio" sheetId="41" r:id="rId1"/>
    <sheet name="xVADashboard" sheetId="42" r:id="rId2"/>
    <sheet name="HiddenSheet" sheetId="7" state="hidden" r:id="rId3"/>
    <sheet name="CashflowDrilldown" sheetId="64" state="hidden" r:id="rId4"/>
    <sheet name="CounterpartyViewer" sheetId="43" r:id="rId5"/>
    <sheet name="TradeViewer" sheetId="31" r:id="rId6"/>
    <sheet name="Config" sheetId="22" r:id="rId7"/>
    <sheet name="Audit" sheetId="50" r:id="rId8"/>
    <sheet name="Notes" sheetId="62" state="hidden" r:id="rId9"/>
  </sheets>
  <functionGroups builtInGroupCount="19"/>
  <externalReferences>
    <externalReference r:id="rId10"/>
  </externalReferences>
  <definedNames>
    <definedName name="AllowedCurrencies">OFFSET(HiddenSheet!$B$5,0,0,HiddenSheet!$B$4)</definedName>
    <definedName name="AnalyticsProvider" localSheetId="6">Config!#REF!</definedName>
    <definedName name="AnchorDate" localSheetId="6">Config!$E$6</definedName>
    <definedName name="BaseVCCY1Header" localSheetId="0">Portfolio!$U$10</definedName>
    <definedName name="BottomHeaderRow" localSheetId="1">xVADashboard!$B$10:$V$10</definedName>
    <definedName name="BuildModelFromDFsAndSurvProbs" localSheetId="6">Config!$E$22</definedName>
    <definedName name="CapFloorTemplate" localSheetId="2">HiddenSheet!$J$13:$AE$13</definedName>
    <definedName name="Ccy1Header" localSheetId="0">Portfolio!$F$10</definedName>
    <definedName name="CptyHeader" localSheetId="0">Portfolio!$T$10</definedName>
    <definedName name="CrossCurrencySwapTemplate" localSheetId="2">HiddenSheet!$J$10:$AE$10</definedName>
    <definedName name="DeveloperMode" localSheetId="6">Config!$E$20</definedName>
    <definedName name="DisplayFormulaBar" localSheetId="2">HiddenSheet!$E$17</definedName>
    <definedName name="DisplayStatusBar" localSheetId="2">HiddenSheet!$E$18</definedName>
    <definedName name="EDHeader" localSheetId="0">Portfolio!$E$10</definedName>
    <definedName name="FixedCashflowsTemplate" localSheetId="2">HiddenSheet!$J$15:$AE$15</definedName>
    <definedName name="FxForwardStripTemplate" localSheetId="2">HiddenSheet!$J$17:$AE$17</definedName>
    <definedName name="FxForwardTemplate" localSheetId="2">HiddenSheet!$J$11:$AE$11</definedName>
    <definedName name="FxOptionStripTemplate" localSheetId="2">HiddenSheet!$J$16:$AE$16</definedName>
    <definedName name="FxOptionTemplate" localSheetId="2">HiddenSheet!$J$12:$AE$12</definedName>
    <definedName name="HeaderCell1" localSheetId="1">xVADashboard!$D$9</definedName>
    <definedName name="HeaderCell2" localSheetId="1">xVADashboard!$D$10</definedName>
    <definedName name="HeaderCell3" localSheetId="1">xVADashboard!$J$10</definedName>
    <definedName name="Headers" localSheetId="7">Audit!$B$5:$F$5</definedName>
    <definedName name="Headers" localSheetId="6">Config!$D$8:$F$8</definedName>
    <definedName name="Headers" localSheetId="2">HiddenSheet!$J$7:$AE$8</definedName>
    <definedName name="Help_on_Day_Count_Types" localSheetId="2">HiddenSheet!$G$5:$G$37</definedName>
    <definedName name="Inc_Hypotheticals?" localSheetId="4">CounterpartyViewer!$G$7</definedName>
    <definedName name="InflationYoYSwapTemplate" localSheetId="2">HiddenSheet!$J$19:$AE$19</definedName>
    <definedName name="InflationZCSwapTemplate" localSheetId="2">HiddenSheet!$J$18:$AE$18</definedName>
    <definedName name="InputMessages" localSheetId="2">HiddenSheet!$J$3:$AE$3</definedName>
    <definedName name="InterestRateSwapTemplate" localSheetId="2">HiddenSheet!$J$9:$AE$9</definedName>
    <definedName name="JuliaExeLinux" localSheetId="6">Config!#REF!</definedName>
    <definedName name="JuliaExeWindows" localSheetId="6">Config!#REF!</definedName>
    <definedName name="LinesWorkbook" localSheetId="6">Config!$E$10</definedName>
    <definedName name="LinuxExe" localSheetId="6">Config!#REF!</definedName>
    <definedName name="MarketDataWorkbook" localSheetId="6">Config!$E$9</definedName>
    <definedName name="MinimumWidths" localSheetId="2">HiddenSheet!$J$2:$AE$2</definedName>
    <definedName name="NbTrades" localSheetId="0">Portfolio!$C$8</definedName>
    <definedName name="Notional1Header" localSheetId="0">Portfolio!$G$10</definedName>
    <definedName name="Numeraire" localSheetId="6">Config!$E$4</definedName>
    <definedName name="NumSims" localSheetId="6">Config!$E$13</definedName>
    <definedName name="NumSimsCVA" localSheetId="6">Config!$E$12</definedName>
    <definedName name="NumTradesShown" localSheetId="0">Portfolio!$B$6</definedName>
    <definedName name="OnValuationErrors" localSheetId="6">Config!$E$16</definedName>
    <definedName name="OurName" localSheetId="6">Config!$E$11</definedName>
    <definedName name="PartitionByTrade" localSheetId="6">Config!$E$18</definedName>
    <definedName name="PFEPercentile" localSheetId="6">Config!$E$15</definedName>
    <definedName name="PortfolioHeader" localSheetId="0">Portfolio!$B$10</definedName>
    <definedName name="ProjectPath" localSheetId="6">Config!#REF!</definedName>
    <definedName name="RegKeys" localSheetId="2">HiddenSheet!$J$4:$AE$4</definedName>
    <definedName name="RestoreTradesAtStartup" localSheetId="6">Config!$E$19</definedName>
    <definedName name="SavePaths" localSheetId="6">Config!$E$17</definedName>
    <definedName name="SDHeader" localSheetId="0">Portfolio!$D$10</definedName>
    <definedName name="SelectedCpty" localSheetId="4">CounterpartyViewer!$G$6</definedName>
    <definedName name="SelectedTrade" localSheetId="5">TradeViewer!$G$7</definedName>
    <definedName name="SheetSettings" localSheetId="2">HiddenSheet!$D$5:$E$13</definedName>
    <definedName name="SingleRowHeaders" localSheetId="2">HiddenSheet!$J$5:$AE$5</definedName>
    <definedName name="SwaptionTemplate" localSheetId="2">HiddenSheet!$J$14:$AE$14</definedName>
    <definedName name="TheFilters" localSheetId="0">Portfolio!$B$7:$W$7</definedName>
    <definedName name="TimeGap" localSheetId="6">Config!$E$14</definedName>
    <definedName name="TotalPV" localSheetId="0">Portfolio!$W$6</definedName>
    <definedName name="TradeDataWithHeaders" localSheetId="4">CounterpartyViewer!$M$10:$W$10</definedName>
    <definedName name="TradeIDs">OFFSET(Portfolio!PortfolioHeader,1,0,Portfolio!NbTrades)</definedName>
    <definedName name="TradesFileName" localSheetId="0">Portfolio!$E$6</definedName>
    <definedName name="UseCachedModel" localSheetId="6">Config!$E$24</definedName>
    <definedName name="UseLinux" localSheetId="6">Config!$E$21</definedName>
    <definedName name="UseThreads" localSheetId="6">Config!$E$23</definedName>
    <definedName name="WindowsExe" localSheetId="6">Config!#REF!</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 i="41" l="1"/>
  <c r="V19" i="7" l="1"/>
  <c r="AA18" i="7"/>
  <c r="V18" i="7"/>
  <c r="X18" i="7"/>
  <c r="V14" i="7"/>
  <c r="U14" i="7"/>
  <c r="U9" i="7"/>
  <c r="J4" i="7"/>
  <c r="K4" i="7"/>
  <c r="L4" i="7"/>
  <c r="M4" i="7"/>
  <c r="N4" i="7"/>
  <c r="O4" i="7"/>
  <c r="P4" i="7"/>
  <c r="Q4" i="7"/>
  <c r="R4" i="7"/>
  <c r="S4" i="7"/>
  <c r="T4" i="7"/>
  <c r="U4" i="7"/>
  <c r="V4" i="7"/>
  <c r="W4" i="7"/>
  <c r="X4" i="7"/>
  <c r="Y4" i="7"/>
  <c r="Z4" i="7"/>
  <c r="E5" i="22" a="1"/>
  <c r="E4" i="22" a="1"/>
  <c r="E6" i="22" a="1"/>
  <c r="E4" i="22" l="1"/>
  <c r="E5" i="22"/>
  <c r="E6" i="22"/>
  <c r="AE5" i="7"/>
  <c r="AD5" i="7"/>
  <c r="AB5" i="7"/>
  <c r="X19" i="7" l="1"/>
  <c r="B5" i="7" a="1"/>
  <c r="B13" i="7" l="1"/>
  <c r="B14" i="7"/>
  <c r="B27" i="7"/>
  <c r="B23" i="7"/>
  <c r="B41" i="7"/>
  <c r="B38" i="7"/>
  <c r="B10" i="7"/>
  <c r="B16" i="7"/>
  <c r="B12" i="7"/>
  <c r="B36" i="7"/>
  <c r="B22" i="7"/>
  <c r="B9" i="7"/>
  <c r="B32" i="7"/>
  <c r="B34" i="7"/>
  <c r="B26" i="7"/>
  <c r="B15" i="7"/>
  <c r="B6" i="7"/>
  <c r="B42" i="7"/>
  <c r="B30" i="7"/>
  <c r="B43" i="7"/>
  <c r="B20" i="7"/>
  <c r="B19" i="7"/>
  <c r="B44" i="7"/>
  <c r="B24" i="7"/>
  <c r="B29" i="7"/>
  <c r="B21" i="7"/>
  <c r="B7" i="7"/>
  <c r="B11" i="7"/>
  <c r="B25" i="7"/>
  <c r="B39" i="7"/>
  <c r="B5" i="7"/>
  <c r="B8" i="7"/>
  <c r="B31" i="7"/>
  <c r="B37" i="7"/>
  <c r="B35" i="7"/>
  <c r="B33" i="7"/>
  <c r="B17" i="7"/>
  <c r="B18" i="7"/>
  <c r="B40" i="7"/>
  <c r="B28" i="7"/>
  <c r="K5" i="7" l="1"/>
  <c r="L5" i="7"/>
  <c r="M5" i="7"/>
  <c r="N5" i="7"/>
  <c r="O5" i="7"/>
  <c r="P5" i="7"/>
  <c r="Q5" i="7"/>
  <c r="R5" i="7"/>
  <c r="S5" i="7"/>
  <c r="T5" i="7"/>
  <c r="U5" i="7"/>
  <c r="V5" i="7"/>
  <c r="W5" i="7"/>
  <c r="X5" i="7"/>
  <c r="Y5" i="7"/>
  <c r="Z5" i="7"/>
  <c r="AA5" i="7"/>
  <c r="J5" i="7"/>
  <c r="AA4" i="7" l="1"/>
  <c r="AA3" i="7" s="1"/>
  <c r="Z3" i="7"/>
  <c r="T3" i="7"/>
  <c r="S3" i="7"/>
  <c r="B4" i="7" l="1"/>
  <c r="AC5" i="7" l="1"/>
  <c r="V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0" authorId="0" shapeId="0" xr:uid="{100E59A0-E99D-459D-AA33-39064B709929}">
      <text>
        <r>
          <rPr>
            <sz val="11"/>
            <color indexed="81"/>
            <rFont val="Calibri"/>
            <family val="2"/>
          </rPr>
          <t>Double-click for amortising.
K = Thousand
M = Million
B = Billion</t>
        </r>
      </text>
    </comment>
    <comment ref="N10" authorId="0" shapeId="0" xr:uid="{565770C6-DE6F-405C-90F8-57C1D92F49CF}">
      <text>
        <r>
          <rPr>
            <sz val="11"/>
            <color indexed="81"/>
            <rFont val="Calibri"/>
            <family val="2"/>
          </rPr>
          <t>Double-click for amortising.
K = Thousand
M = Million
B = Billion</t>
        </r>
      </text>
    </comment>
    <comment ref="V10" authorId="0" shapeId="0" xr:uid="{00000000-0006-0000-0000-000001000000}">
      <text>
        <r>
          <rPr>
            <sz val="11"/>
            <color indexed="81"/>
            <rFont val="Calibri"/>
            <family val="2"/>
            <scheme val="minor"/>
          </rPr>
          <t>PV from Bank's perspective, denominated in the currency shown in the 'Ccy 1' column. For inflation trades shown in the Base Currency of the inflation index.</t>
        </r>
      </text>
    </comment>
    <comment ref="W10" authorId="0" shapeId="0" xr:uid="{00000000-0006-0000-0000-000002000000}">
      <text>
        <r>
          <rPr>
            <sz val="11"/>
            <color indexed="81"/>
            <rFont val="Calibri"/>
            <family val="2"/>
            <scheme val="minor"/>
          </rPr>
          <t>PV from Bank's perspective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V10" authorId="0" shapeId="0" xr:uid="{00000000-0006-0000-0100-000001000000}">
      <text>
        <r>
          <rPr>
            <sz val="11"/>
            <color indexed="81"/>
            <rFont val="Calibri"/>
            <family val="2"/>
            <scheme val="minor"/>
          </rPr>
          <t>xVA = CVA + x% * DVA + y% * FVA + KVA
Where x% and y% are bank-specific and held in the Lines workbook as 'DVA benefit %' and 'FVA charge %'
When KVA was not calculated (because PFE was not calculated) then
xVA = CVA + x% * DVA + y% * FVA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I2" authorId="0" shapeId="0" xr:uid="{00000000-0006-0000-0200-000001000000}">
      <text>
        <r>
          <rPr>
            <sz val="11"/>
            <color indexed="81"/>
            <rFont val="Calibri"/>
            <family val="2"/>
            <scheme val="minor"/>
          </rPr>
          <t>Accessed by function SetTradesRangeColumnWidths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B2E7154D-5521-406A-90C6-605856BBCE99}">
      <text>
        <r>
          <rPr>
            <b/>
            <sz val="9"/>
            <color indexed="81"/>
            <rFont val="Tahoma"/>
            <family val="2"/>
          </rPr>
          <t>Philip Swannell:</t>
        </r>
        <r>
          <rPr>
            <sz val="9"/>
            <color indexed="81"/>
            <rFont val="Tahoma"/>
            <family val="2"/>
          </rPr>
          <t xml:space="preserve">
The additional calculations relate to FVA calculated by changing discount factors versus FBA\FCA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<sst xmlns="http://schemas.openxmlformats.org/spreadsheetml/2006/main" count="2053" uniqueCount="1020">
  <si>
    <t>EUR</t>
  </si>
  <si>
    <t>GBP</t>
  </si>
  <si>
    <t>USD</t>
  </si>
  <si>
    <t>Derivatives Portfolio</t>
  </si>
  <si>
    <t>Trade ID</t>
  </si>
  <si>
    <t>Trade Type</t>
  </si>
  <si>
    <t>Start Date</t>
  </si>
  <si>
    <t>End Date</t>
  </si>
  <si>
    <t>N/A</t>
  </si>
  <si>
    <t>CVA</t>
  </si>
  <si>
    <t>DVA</t>
  </si>
  <si>
    <t>KVA</t>
  </si>
  <si>
    <t>Date</t>
  </si>
  <si>
    <t>Comment</t>
  </si>
  <si>
    <t>Ccy1</t>
  </si>
  <si>
    <t>Rate 1</t>
  </si>
  <si>
    <t>Ccy 1</t>
  </si>
  <si>
    <t>Notional 1</t>
  </si>
  <si>
    <t>Freq 1</t>
  </si>
  <si>
    <t>Ccy 2</t>
  </si>
  <si>
    <t>Notional 2</t>
  </si>
  <si>
    <t>Rate 2</t>
  </si>
  <si>
    <t>Freq 2</t>
  </si>
  <si>
    <t>PV (in Ccy 1)</t>
  </si>
  <si>
    <t>Description</t>
  </si>
  <si>
    <t>Version</t>
  </si>
  <si>
    <t>Time</t>
  </si>
  <si>
    <t>Author</t>
  </si>
  <si>
    <t>Philip Swannell</t>
  </si>
  <si>
    <t>Added this Audit sheet.
VBA changes: Ensure OptionExplicit in all modules, bug fixes to bugs revealed by non use of Option Explicit.
Added "ReleaseCleanup" method</t>
  </si>
  <si>
    <t>Changing structure of CCY_ sheets - will break Paul's class module for the time being.</t>
  </si>
  <si>
    <t>Corrected VBA code for new structure of CCY_ sheets.</t>
  </si>
  <si>
    <t>Counterparty</t>
  </si>
  <si>
    <t>Changes on sheet CPtyExposureViewer - simplified formulas and re-wrote code that amends the graphs.</t>
  </si>
  <si>
    <t>More VBA cleanups. Added three extra parameters onto sheet Control_Variables</t>
  </si>
  <si>
    <t>Removed Class module - wasn't necessary. Module modScript is now largely PGS code. Removed Nicolas' sheets since they had circular references and Nicolas is working on new versions.</t>
  </si>
  <si>
    <t>Released a version for Paul to work with.</t>
  </si>
  <si>
    <t>Changes to sheets - more sheets hidden, no longer use sheet tab colours, shorter sheet names.</t>
  </si>
  <si>
    <t>Work on TradeExposures sheet.</t>
  </si>
  <si>
    <t>No longer have button on Portfolio sheet. Instead whenever the Portfolio sheet is deactivated, the data is transferred to the sheets SwapTrades, XCCYTrades and FxForwards</t>
  </si>
  <si>
    <t>More VBA changes - no longer hard-wire address of Calib range on the currency sheets.</t>
  </si>
  <si>
    <t>Shipped in Nicolas' sheets. Got rid of links.</t>
  </si>
  <si>
    <t>Fixed bad bug in VBA code introduced in last release - the work was being done twice!</t>
  </si>
  <si>
    <t>Fix on sheet Client_CDS - Barclays credit curve was messed up.</t>
  </si>
  <si>
    <t>Removing the five sheets broke the formulas on sheet "Portfolio Summary". Fixed them.</t>
  </si>
  <si>
    <t>Removed five sheets - ClientCDS, CPartyCDS, and the sheets holding Swap, XccySwaps and FXFwds. Data previosly held on these sheets is now generated on-the-fly in methods ReshapeCDSData and SplitOutTradeData.</t>
  </si>
  <si>
    <t>Fixed problem seen by Nicolas - xvaDashboards was not reflecting changes to trades</t>
  </si>
  <si>
    <t>Simplified sheet FX, by moving code to reformat the data for R from sheet formulas to VBA code.</t>
  </si>
  <si>
    <t>Audit sheet has single Menu button.</t>
  </si>
  <si>
    <t>Re-wrote method UpdateCorrelMatrix.</t>
  </si>
  <si>
    <t>Inc Hypotheticals?</t>
  </si>
  <si>
    <t>Changes on sheet CptyExposures: moved graph left, now just one graph. Doubleclicking added to xvaDashboard.</t>
  </si>
  <si>
    <t>Double-click to drill down</t>
  </si>
  <si>
    <t>Can now drill down CptyExposures sheet to TradeExposures sheet.</t>
  </si>
  <si>
    <t>Started work on adding different funding spreads for each Counterparty</t>
  </si>
  <si>
    <t>Changes to trades on Portfolio sheet at Paul's request.</t>
  </si>
  <si>
    <t>Incorporated latest versions of Nicolas' sheets.</t>
  </si>
  <si>
    <t>Nicolas Gakwaya</t>
  </si>
  <si>
    <t>KVA (now renamed EEPE) and Capital sheet cleanup</t>
  </si>
  <si>
    <t>Deleted sheets "ENE Pmarginal", "Loan Portfolio", "EEParty", "ENEParty". Reduced the number of names scoped to workbook.</t>
  </si>
  <si>
    <t>Very few names are now scoped to workbook. Names on Portfolio sheet now refer to cells in the header row rather than in the first row of trade data. That should make for lower chance of error when copying in data for different clients.</t>
  </si>
  <si>
    <t>Fixed bad name ActiveCptyList and various cosmetic changes to sheets</t>
  </si>
  <si>
    <t>Added WHATIF to contents of name ActiveCptyList. Fixes problem seen by Guy.</t>
  </si>
  <si>
    <t>Removed sheet EEPE - the sheets Capital and CVAVar calculate the data previously held on the EEPE sheet for themselves for the counterparty in question - see columns of cells headed "Ann Av of Q Max EPE".</t>
  </si>
  <si>
    <t>KVA (aka ReturnOnRWA) now shows on xvaDashboard - for both with and without Hypothetical trades.</t>
  </si>
  <si>
    <t>Simplified Ccy_ sheets</t>
  </si>
  <si>
    <t>Cleaned up Capital display sheets (removed EEPE calc back to CVA VaR sheet, changed table orders, highlighted chart), added RWA figures, linked CapInputs CDS spreads to CDS sheet</t>
  </si>
  <si>
    <t>Added "Grouping button" button to CapInputs sheet in place of using Excel's Outline functionality that doesn't work when a sheet is protected :-(.</t>
  </si>
  <si>
    <t>FxFwdTemplate</t>
  </si>
  <si>
    <t>Headers</t>
  </si>
  <si>
    <t>Changes on Portfolio sheet:
1) Removed cells needed for calculating weighted average maturity (replaced with VBA method EffectiveMaturityForTradesWithCP)
2) Removed Dummy trades, put them on HiddenSheet instead
3) Added meu with to allow the user to add trades and apply cell formats.</t>
  </si>
  <si>
    <t>??</t>
  </si>
  <si>
    <t>Added method for deleting trades on the Portfoliom sheet</t>
  </si>
  <si>
    <t>Changing the Counterparty on the Capital sheet refreshes the sheet - Guy request.</t>
  </si>
  <si>
    <t>Portfolio</t>
  </si>
  <si>
    <t>HiddenSheet</t>
  </si>
  <si>
    <t>xVADashboard</t>
  </si>
  <si>
    <t>Audit</t>
  </si>
  <si>
    <t>Visible?</t>
  </si>
  <si>
    <t>SheetName</t>
  </si>
  <si>
    <t>Changes to release script - now store correct Visible status of the sheets on the Hidden sheet.</t>
  </si>
  <si>
    <t>When saving trades to R (via method SplitOutTradeData) we now flip the direction of the trades so that they are represented from the Banks' perspective. So also changed sheet formulas to call SolumENE…, SolumEPE functions in a more logical manner (as opposed to calling -ENE when we want EPE etc)</t>
  </si>
  <si>
    <t>Menu on sheet Portfolio is now a superset of the menu on sheet xVADashboard.</t>
  </si>
  <si>
    <r>
      <rPr>
        <b/>
        <sz val="11"/>
        <color theme="1"/>
        <rFont val="Calibri"/>
        <family val="2"/>
      </rPr>
      <t>Backed out change 47 below</t>
    </r>
    <r>
      <rPr>
        <sz val="11"/>
        <color theme="1"/>
        <rFont val="Calibri"/>
        <family val="2"/>
        <scheme val="minor"/>
      </rPr>
      <t xml:space="preserve"> - by reverting to version just prior to changes in cell formulas and then re-implementing VBA changes that achieved "Menu on sheet Portfolio is now a superset of the menu on sheet xVADashboard.".</t>
    </r>
  </si>
  <si>
    <t>Improved method ApplyCellFormattingToTrades to fix up formulas in case they've been messed up.</t>
  </si>
  <si>
    <t>xVA</t>
  </si>
  <si>
    <t>A number of small but useful changes to the sheets made by Guy.</t>
  </si>
  <si>
    <t>NEW</t>
  </si>
  <si>
    <t>Changed how we allocate TradeIDs to trades on the Portfolio sheet - see method AllocateTradeIDs. Existing method was bad - when we deleted a trade then trades lower down the Portfolio sheet reshuffled the IDs making results on the sheets wrong (untill the next re-run).</t>
  </si>
  <si>
    <t>More work on TradeValidation, fixed formula bug spotted by Guy on CapitalInput sheet. Added sort buttons on Portfolio sheet.</t>
  </si>
  <si>
    <t>Added ability to save trades to file and open trades from file.</t>
  </si>
  <si>
    <t>Banks Exposure with Hypothetical Trades</t>
  </si>
  <si>
    <t>Changed CVA VaR to address the cap with the IMM maturity term included in CVA VaR Standardised calculation (used to be capped at 5y until now, but shouldn't be for CVA VaR calc purposes, now caps at longest trade maturity for the netting set</t>
  </si>
  <si>
    <t>Added a "number of trades" control in CVA VaR sheet to avoid IMMMaturity=0 and therefore #VALUE when running KVA for counterparties with no existing trades and without the hypotheticals</t>
  </si>
  <si>
    <t>For Guy: Fixed broken formulas on TradeExposures sheet. Improvements to some of the double-click handlers.</t>
  </si>
  <si>
    <t>Hooked into MsgBoxPlus.</t>
  </si>
  <si>
    <t>AllowedCurrencies</t>
  </si>
  <si>
    <t>All PV, CVA, DVA, FVA, EPE, ENE and PFE numbers shown on the sheet are from Bank perspective. Also added double-click handler on sheet Portfolio.</t>
  </si>
  <si>
    <t>Hidden Sheet</t>
  </si>
  <si>
    <t>Guy Seknadje</t>
  </si>
  <si>
    <t>Changes to market data and Bank names.</t>
  </si>
  <si>
    <t>Bug fix to function Negate - was causing sign problems on the sheet TradeExposures. Also changes to calls to SolumCVA… and SolumDVA… to get consistent sign conventions on sheets xVADashboard, CptyExposures and TradeExposures.</t>
  </si>
  <si>
    <t>Fix to bug discovered by Tu the CDS sheet was not being recalculated in method DoCalculations. Also improvements to double-click handler.</t>
  </si>
  <si>
    <t>Method SplitOutTradeData no longer hard-codes column numbers.</t>
  </si>
  <si>
    <t>Sheets Ccy_USD and friends now have two column not three column arrays for discount factors.</t>
  </si>
  <si>
    <t xml:space="preserve">Realised that the discount curves have been time-shifted by mistake… </t>
  </si>
  <si>
    <t>Corrected link to SolumAddin - was pointing to https://solumfinancial-my.sharepoint.com/SolumAddin/SolumAddin.xlam rather than c:\SolumAddin\SolumAddin.xlam. Still don't understand how this happens - needs investigation.</t>
  </si>
  <si>
    <t>Paul Bradbury</t>
  </si>
  <si>
    <t>Removed sheet PortfolioSummary.</t>
  </si>
  <si>
    <t>Added ability to set the RSourcePath on the Control sheet.</t>
  </si>
  <si>
    <t>Removed sheet Status</t>
  </si>
  <si>
    <t>MarketDataWorkbook</t>
  </si>
  <si>
    <t>Config</t>
  </si>
  <si>
    <t>Moved sheets carrying market data from SCRiPT workbook to a separate workbook.</t>
  </si>
  <si>
    <t>Now point to market data sheet on SharePoint.</t>
  </si>
  <si>
    <t>Changes to formatting of borders - Guy request. Fixed bug in Fx rate display on portfolio sheet.</t>
  </si>
  <si>
    <t>Cell formatting only.</t>
  </si>
  <si>
    <t>Change on Config sheet cvainp_ to cva_input_ for consistency of names of variables. Paul will make equivalent change in R code.</t>
  </si>
  <si>
    <t>Change in method DoCalculations to set the RSourcePath to earlier in the method.</t>
  </si>
  <si>
    <t>Changes to formulas on the sheet Portfolio.</t>
  </si>
  <si>
    <t>Double-click handler on Config sheet.</t>
  </si>
  <si>
    <t>Fix to call to ShowSingleChoiceDialog.</t>
  </si>
  <si>
    <t>Now using features in C# code released only on 17-12-2015</t>
  </si>
  <si>
    <t>Added Calibration sheet</t>
  </si>
  <si>
    <t>Changes on Config sheet.</t>
  </si>
  <si>
    <t>Formatting changes on Calibration sheet.</t>
  </si>
  <si>
    <t>Conditional formatting on Calibration sheet.</t>
  </si>
  <si>
    <t>More changes on config sheet re input_... Needs simultanteous change in R code.</t>
  </si>
  <si>
    <t>Work on Fx Vol calibration.</t>
  </si>
  <si>
    <t>Can now "Clean out R environment" from the menus.</t>
  </si>
  <si>
    <t>Can now Load R Environment from the menus</t>
  </si>
  <si>
    <t>Changes following Paul's reforms to C# function names.</t>
  </si>
  <si>
    <t>More changes following Paul's reforms to C# function names. Not working yet</t>
  </si>
  <si>
    <t>PV (in EUR)</t>
  </si>
  <si>
    <t>Reform of variable names on config sheet and variable names in R code.</t>
  </si>
  <si>
    <t>Rewired sheets to use scReport… functions - part of function name rationalisation. Also fixed bug in CVAInputs sheet. Bank names should be hard-wired in that sheet.</t>
  </si>
  <si>
    <t>Add scReport functions, remove legacy ones they replace, PV CVA DVA etc. netset and trade</t>
  </si>
  <si>
    <t>Changes following Paul's latest batch of C# function renaming.</t>
  </si>
  <si>
    <t>Changes to method BackUpRSource</t>
  </si>
  <si>
    <t>ssReport &gt; scReport</t>
  </si>
  <si>
    <t>Ensure input_numsimscva and input_numsims are (2^n)-1</t>
  </si>
  <si>
    <t>Method BackUpAllFiles (fka BackUpRSource) now saves out the R workspace.</t>
  </si>
  <si>
    <t>Method BackUpAllFiles checks for value of IN_DEBUG_MODE</t>
  </si>
  <si>
    <t>Fixed error on Hidden sheet that was causing double-click macro to fail (as discovered by Guy).</t>
  </si>
  <si>
    <t>ssReport &gt; scReport - missed one on HiddenSheet, as discovered by Guy.</t>
  </si>
  <si>
    <t>Changes to method BackupAllFiles to give warning if regression test failed and also to save a copy of the trades in an .stf file.</t>
  </si>
  <si>
    <t>Changes to BackupAllFiles to keep a second copy on the C drive since SOLUMNAS is not backed up</t>
  </si>
  <si>
    <t>Changes to method DoCalculations to reflect split of Paul's method scCalculate into three: scCalculateSetup, scCalculate and scCalculateReadResults.</t>
  </si>
  <si>
    <t>Change in PassCurrencySheetToR to use 1 Y = 365.25 days, in line with method datetotime in utilsvalue.R</t>
  </si>
  <si>
    <t>Added method RebaseRegressionTest</t>
  </si>
  <si>
    <t>Rebased regression test following change 103</t>
  </si>
  <si>
    <t>Released as SCRiPT_v70.xlsm</t>
  </si>
  <si>
    <t>Shipped in a loan portfolio sheet, which lists banking book item by counterparty, calculates the risk weights for those line items, and ties in with the Capital sheet by collecting banking book RWAs side by side with the trading book RWAs</t>
  </si>
  <si>
    <t>Merged in changes made while Nicolas had control: Hopefully temporary hack in method DoCalculations</t>
  </si>
  <si>
    <t>Added method KillRogueProcesses - kills rogue Rscript.exe processes that may exist if %dopar% R code did not execute properly.</t>
  </si>
  <si>
    <t>Removed temporary hack in DoCalculations, as R code now has better error handling and that fact allowed me to debug more effectively.</t>
  </si>
  <si>
    <t>Changes to BackUpAllFiles to create a simple batch file to install everything.</t>
  </si>
  <si>
    <t>Copied across Guy's changes to sheet LoanPortfolio. There's plenty more work to do on this sheet…</t>
  </si>
  <si>
    <t>Changes in method BackUpAllFiles - in preparation for Paul's work on an install file written in VBScript, to replace my batch file version.</t>
  </si>
  <si>
    <t>Use vbscript installer instead of dynamically created batch file</t>
  </si>
  <si>
    <t>Used findlink.xlam to find and a link to an old version of this workbook. Deleted it.</t>
  </si>
  <si>
    <t>Renamed method BackupAllFiles to CreateWorkingSnapshot.</t>
  </si>
  <si>
    <t>OurName</t>
  </si>
  <si>
    <t>Comment added by Philip for Paul's changes. Switch to using sFns.Providers.Default in place of sFns.Providers.ByIndex(0). Changed Config sheet input_ValDate -&gt; input_AnchorDate.</t>
  </si>
  <si>
    <t>Changes to method CreateSnapshot so that it works from home.</t>
  </si>
  <si>
    <t>Added input_ShowRawMonte to Config sheet.</t>
  </si>
  <si>
    <t>Changed structure of menus for greater clarity.</t>
  </si>
  <si>
    <t>Fixed problem see by Guy - the XVADashboard was displaying zero as KVA inluding hypotheticals for counterparties with zero existing trades. Bug was in excel formula not VBA or R code.</t>
  </si>
  <si>
    <t>Reorganised Config sheet. Parameters in more logical order, improved some of the comments.</t>
  </si>
  <si>
    <t>Change on config sheet - new parameter input_UseIndividualTradePFE</t>
  </si>
  <si>
    <t>Rebased regression test following Paul's fix so that funding is taken into account on calculation of PFE/EPE/ENE for individual trades.</t>
  </si>
  <si>
    <t>Simplified Excel formulas on sheet CptyExposures.</t>
  </si>
  <si>
    <t>Added method InstallPackages, available from the "R environment" sub-menu. Helps speed up first-time installation on a PC.</t>
  </si>
  <si>
    <t>FxOptionTemplate</t>
  </si>
  <si>
    <t>FxOption</t>
  </si>
  <si>
    <t>1) Change Hidden sheet to have new range NewTradeTypeTemplate, with cells formatted and with Data validation set up.</t>
  </si>
  <si>
    <t>Started work on adding FxOptions, including making a list of what needs to be done to add a new trade type...</t>
  </si>
  <si>
    <t xml:space="preserve">2) Change method ShowMenu to have new item "Add NewTradeType(s)". Ensure that right-clicking on trades still displays the "Delete selected trades..." option. </t>
  </si>
  <si>
    <t>4) Change method ValidateTrades to do validation for the entered trade data.</t>
  </si>
  <si>
    <t>5) Change method TradeDoubleClickHandler to cope well with NewTradeType</t>
  </si>
  <si>
    <t>When adding a new trade type...</t>
  </si>
  <si>
    <t>Force export of FX Options when doing calculations</t>
  </si>
  <si>
    <t>Changes to method ShowMenu - all menu items now have accelerator keys.</t>
  </si>
  <si>
    <t>Re-based regresion test, since we now include Fx Options in the test.</t>
  </si>
  <si>
    <t>Change to cell formatting for Fx trades - grey out Start Date since it has no meaning.</t>
  </si>
  <si>
    <t>Removed "Trade Date" from sheet portfolio since no code uses it. Methods OpenTradesFile, SplitOutTradeData, ApplyCellFormattingToTrades required changes.</t>
  </si>
  <si>
    <t>Can now copy to backups directory from the menu.</t>
  </si>
  <si>
    <t>Changes to CreateSnapshot to reflect new file structure on SOLUMNAS.</t>
  </si>
  <si>
    <t>CapFloorTemplate</t>
  </si>
  <si>
    <t>CapFloor</t>
  </si>
  <si>
    <t>BuyCap</t>
  </si>
  <si>
    <t>SwaptionTemplate</t>
  </si>
  <si>
    <t>Swaption</t>
  </si>
  <si>
    <t>BuyReceivers</t>
  </si>
  <si>
    <t>Changes to reflect changes in install script and hence default location of market data workbook. Also started work on Caps, Floors and Swaptions.</t>
  </si>
  <si>
    <t>BuyCall</t>
  </si>
  <si>
    <t>Work on adding CapFloors and Swaptions. Also ran Rob Bovey's code cleaner.</t>
  </si>
  <si>
    <t>Fixed</t>
  </si>
  <si>
    <t>Changes on the hidden sheet to ensure that "new" trades are more sensible.</t>
  </si>
  <si>
    <t>Then the work switches to the R side of the fence...</t>
  </si>
  <si>
    <t>Changes to menus to show "recently used files".</t>
  </si>
  <si>
    <t>Changed method SaveTradesFile to ask for confirmation if the file already exists.</t>
  </si>
  <si>
    <t>File:</t>
  </si>
  <si>
    <t>Put back chart on sheet CptyExposures, I think this got lost in a file-corruption, which the rest of the workbook survived (Mmm, I hope).</t>
  </si>
  <si>
    <t>Release with CapFloor and Swaption VFs both working.</t>
  </si>
  <si>
    <t>Changes to method CreateSnapshot since SOLUMNAS is down.</t>
  </si>
  <si>
    <t>Changed backups to an area on my C drive that replicates to my (personal) OneDrive so that I won't loose work if my c drive crashes. To Do: Revert once SOLUMNAS is back on line.</t>
  </si>
  <si>
    <t>CrossCurrencySwap</t>
  </si>
  <si>
    <t>CrossCurrencySwapTemplate</t>
  </si>
  <si>
    <t>Changed XCcySwap to CrossCurrencySwap, FxFwd to FxForward</t>
  </si>
  <si>
    <t>FxForward</t>
  </si>
  <si>
    <t>InterestRateSwap</t>
  </si>
  <si>
    <t>InterestRateSwapTemplate</t>
  </si>
  <si>
    <t>Annual</t>
  </si>
  <si>
    <t>Quarterly</t>
  </si>
  <si>
    <t>Semi annual</t>
  </si>
  <si>
    <t>Changed representation of payment frequencies from 1,2,4,12 to Annual,Semi annual,Quarterly,Monthly.</t>
  </si>
  <si>
    <t>Fixed some small bugs found by Guy.</t>
  </si>
  <si>
    <t>FixedCashflows</t>
  </si>
  <si>
    <t>FixedCashflowsTemplate</t>
  </si>
  <si>
    <t>Split module modPortfolioUI into two: modPortfolioUI and modValidateTrades.</t>
  </si>
  <si>
    <t>Added double-click handler for FixedCashflows trades to make it easier to add such trades (though I don't expect FixedCashflows trades to be much used in the gui, we need them for trade compression of Fx forwards.</t>
  </si>
  <si>
    <t>Double-click me!</t>
  </si>
  <si>
    <t>Ran code cleaner.</t>
  </si>
  <si>
    <t>The Solum logo had vanished from a few sheets, put it back and added code to ReleaseCleanup to ensure that it's in the same position on each sheet on which it appears.</t>
  </si>
  <si>
    <t>Added ability to Generate Reports - i.e. create a workbook containing pasted values from selected sheets of this workbook.</t>
  </si>
  <si>
    <t>Changed conditional formatting for Counterparty column of Portfolio sheet to show WHATIF in red.</t>
  </si>
  <si>
    <t>Started work to remove hard-coding of currencies. Guy request.</t>
  </si>
  <si>
    <t>Released a version that no-longer has hard-wired list of currencies for which to build curves, but instead examines the trades and builds cuurves for the required currencies only. However there are regression test differences large enough to be a concern. These need to be understood.</t>
  </si>
  <si>
    <t>More code to validate market data, so that we get early and understandable error messages when there is bad market data.</t>
  </si>
  <si>
    <t>Changed banks listed on the CapInputs sheet. Guy needs to review and amend the remaining columns.</t>
  </si>
  <si>
    <t>Incorporated Guy's changes to the CVAVaR sheet.</t>
  </si>
  <si>
    <t>Changes to double-click handler for FixedCashflows trades. Fix to function AddressOfRange.</t>
  </si>
  <si>
    <t>Method DoCalculations now switches Application.Calculation to Manual if necessary.</t>
  </si>
  <si>
    <t>Added input_UseExperimentalCode on the Config sheet for testing new PFE algorithm.</t>
  </si>
  <si>
    <t>Changed to method RequiredCurrencies so that the return is sorted alphabetically, other than the fact that the numeraire appears first.</t>
  </si>
  <si>
    <t>R code associated with this release has two versions of DoTaskOneTradePFE and DoTaskOneNetSetPFE. The newer (_v2) versions are (much) faster so that overall calculation time for "Calculate PVs, CVA and PFE" is better than halved - 40 seconds to 17.9 seconds on the current set of regression trades.</t>
  </si>
  <si>
    <t>R code associated with this release has older versions of DoTaskOneTradePFE and DoTaskOneNetSetPFE removed.</t>
  </si>
  <si>
    <t>R Code changes: Methods BuildTaskList, DoOneTask and the DoTask… suite of functions changed to reduce the extent to which much more data than necessary is passed to the parallel processes. More work needed on this, since currently the amount of data that we pass goes up with the square of the number of trades. :-(</t>
  </si>
  <si>
    <t>Added method SetTradesRangeColumnWidths. Called in DoCalculations, Double-click event, and when adding, deleting and loading trades. Not called in worksheet Change event, since managing code in such events is tricky.</t>
  </si>
  <si>
    <t>Change so that it's no longer to exit and relaunch Excel following a change to the Counterparties listed on the CFS sheet of the Marker Data workbook. Problem was that the "old" Counterparties were persisted in the C# layer. Fixed by making a call to sFns.scClearCache.</t>
  </si>
  <si>
    <t>R code change: Noticed and fixed bug that trade-level CVA\DVA results were not making their way back from the R environment to the C# layer, hence were not appearing on the CptyExposures sheet.</t>
  </si>
  <si>
    <t>Sheets CptyExposures and TradeExposures now do column auto-fitting in their Calculate events.</t>
  </si>
  <si>
    <t>Work on the Regression sheet - we now include results from the CptyExposures sheet.</t>
  </si>
  <si>
    <t>Improved comments on the Config sheet.</t>
  </si>
  <si>
    <t>Impact of Hypothetical Trades</t>
  </si>
  <si>
    <t>Added column autofitting to calculation event of xVADashboard</t>
  </si>
  <si>
    <t>Improvements to code associated with regression testing - now display a count of the number of differences detected in the regression sheet.</t>
  </si>
  <si>
    <t>In the past the sheet xVADashboard contained Excel formulas that called Paul's C# functions to get back the information displayed. It works differently now - VBA code (method UpdatexVDashboard) calls directly to R to get the data calculated by R, augments that data with the results of the KVA calculation (not done in R) and pastes the results as values to the sheet. Also added sort buttons to the sheet.</t>
  </si>
  <si>
    <t>PV (EUR)</t>
  </si>
  <si>
    <t>Change so that the workbook works if File &gt; Options &gt; Formula &gt; Workbook Calculation is Automatic (though not recommended). Previously this would have been very slow.</t>
  </si>
  <si>
    <t>Removed some settings on the Config sheet, with associated simplification of the R code.</t>
  </si>
  <si>
    <t>Noticed and fixed bug that running "Calculate PVs and CVA" was not using a cached model.</t>
  </si>
  <si>
    <t>changes on hidden sheet to data validation of template trade</t>
  </si>
  <si>
    <t>Changes in method FormatTradesRange</t>
  </si>
  <si>
    <t>Changes in method TradeDoubleClickHandler</t>
  </si>
  <si>
    <t>Changes in SplitOutTradeData</t>
  </si>
  <si>
    <t>Over to R, change ValueTrade and its sub-routines.</t>
  </si>
  <si>
    <t>Amortising InterestRateSwap now works.</t>
  </si>
  <si>
    <t>Added method TestInstallation to give more friendly error message if R is not installed.</t>
  </si>
  <si>
    <t>Released from work.</t>
  </si>
  <si>
    <t>Changes in method ValidateTrades</t>
  </si>
  <si>
    <t>Amortising cross currency swaps now work (though not extensively tested...). At Guy's request CNY changed to CNH (offshore).</t>
  </si>
  <si>
    <t>Tweaks to column fitting - see method AutoFitColumns.</t>
  </si>
  <si>
    <t>Small fixes for Guy - new trades now have more sensible dates. after calculating CVA we activate the xvaDashboard sheet.</t>
  </si>
  <si>
    <t>Small formatiing changes and capital input udates.</t>
  </si>
  <si>
    <t>Can save trades to disc even if the trades fail on validation.</t>
  </si>
  <si>
    <t>Code refactoring: No longer pass 7 arrays of trade data to R, pass a single array instead. Method SplitOutTradeData replaced by method ReformatTrades. Hence using fewer functions in Paul's C# layer.</t>
  </si>
  <si>
    <t>Now have ability to solve trades for zero PV - see right-click menu. Guy request.</t>
  </si>
  <si>
    <t>Calculating PVs only is now faster. We use method UpdatePortfolioSheet rather than the all-purpose method DoCalculations.</t>
  </si>
  <si>
    <t>Implemented AutoCalc - i.e. PVs shown on the Portfolio sheet change as you edit them. Can be switched on\off via a settting on the sheet.</t>
  </si>
  <si>
    <t>New menu item: R environment: Show Trades formatted for R.</t>
  </si>
  <si>
    <t>Bug fix to Portfolio worksheet change event. When editing a single trade we were calculating all trades.</t>
  </si>
  <si>
    <t>Calculate event of Portfolio sheet disabled when Portfolio sheet is not the active sheet.</t>
  </si>
  <si>
    <t>Released to new release locations on SOLUMSBS</t>
  </si>
  <si>
    <t>Version 185 introduced serious bugs that were only apparent once Excel was rebooted (which I didn't do for 2 days). These are now fixed. BUT Guy has found errors in the CVA and FVA calculations.</t>
  </si>
  <si>
    <t>CVA errors found by Guy have been fixed. Validation of trades now more robust.</t>
  </si>
  <si>
    <t>Changed sign conventions for the trades passed to R, with associated changes in the R code.</t>
  </si>
  <si>
    <t>When invalid TradeIDs are detected, user sees dialog offereing to fix rather than a dialog telling him\her to fix the problem via the menu.</t>
  </si>
  <si>
    <t>Release before major changes to reduce use of Paul's C# layer.</t>
  </si>
  <si>
    <t>Re-wrote TradeExposures sheet to no longer use C# functions.</t>
  </si>
  <si>
    <t>Re-wrote CptyExposures sheet to no longer use C# functions.</t>
  </si>
  <si>
    <t>Sheet Capital no longer uses C# functions.</t>
  </si>
  <si>
    <t>HiddenSheet no longer uses C# functions.</t>
  </si>
  <si>
    <t>Work on Regression sheet.</t>
  </si>
  <si>
    <t>Sheet CVAVaR no longer uses C# functions.</t>
  </si>
  <si>
    <t>Removed eight items from the config sheet.</t>
  </si>
  <si>
    <t>Started work to reduce use of C# functions in the VBA code. I want to stop storing data in the C# layer but use it only as a communication mechanism between Excel\VBA and R.</t>
  </si>
  <si>
    <t>Now have control over the manner in which we use the C# layer. gUseCSharpLayer = FALSE means use the C# code only for communication between Excel and R. gUseCSharpLayer = TRUE do it the old way, i.e. for both communuication and to maintain Paul's cache of data at the netset and trade level.</t>
  </si>
  <si>
    <t>New method CounterpartiesFromMarketBook so that double-click handlers for counterparties work even if we have not generated data in R.</t>
  </si>
  <si>
    <t>Value</t>
  </si>
  <si>
    <t>Switched off old-style "heavy" usage of the C# layer.</t>
  </si>
  <si>
    <t>R code associated with this release has funding as a non-defaulting argument to all functions. Previously it was defaulting to TRUE in the argument declarations of many functions.</t>
  </si>
  <si>
    <t>R code associated with this releaseno longer builds a "ModelList" with one model for each Counterparty. instead we use a single model and an additional argument FundingSpread that's passed down the callstack. Small changes seen on the regression sheet of  max about EUR200.</t>
  </si>
  <si>
    <t>Small changes made during testing. Ready for Guy to test.</t>
  </si>
  <si>
    <t>No longer the case that the xvaDashboard sheet is empty after doing a PV only run. No longer "suggest" a file name when doing a "Save As".</t>
  </si>
  <si>
    <t>Improved checking of whether R is installed on the PC in method TestInstallation.</t>
  </si>
  <si>
    <t>Unable to reproduce bugs seen by Guy, but introduced some defensive programming in method SolveSelectedTrades that may prevent them happening again.</t>
  </si>
  <si>
    <t>Fixed bug in double-clicking on MarketDataSheet cell of Config sheet.</t>
  </si>
  <si>
    <t>Re-wrote method getTradesRange to use .CurrentRegion rather than sExpandDown that can't cope with hidden rows.</t>
  </si>
  <si>
    <t>Added filtering on the Portfolio sheet.</t>
  </si>
  <si>
    <t>Started work on building curves from rates rather than passing in discount factors.</t>
  </si>
  <si>
    <t>First release where building curves from swap rates and cross-currency basis swaps works.</t>
  </si>
  <si>
    <t>FxvCcy1</t>
  </si>
  <si>
    <t>PVin1</t>
  </si>
  <si>
    <t>PVinN</t>
  </si>
  <si>
    <t>RegKeys</t>
  </si>
  <si>
    <t>Work on sheets CptyExposures and TradeExposures following feedback during client demo.</t>
  </si>
  <si>
    <t>InputMessages</t>
  </si>
  <si>
    <t>Filter TradeID</t>
  </si>
  <si>
    <t>Filter TradeType</t>
  </si>
  <si>
    <t>Filter StartDate</t>
  </si>
  <si>
    <t>Filter EndDate</t>
  </si>
  <si>
    <t>Filter Ccy1</t>
  </si>
  <si>
    <t>Filter Notional1</t>
  </si>
  <si>
    <t>Filter Rate1</t>
  </si>
  <si>
    <t>Filter Freq1</t>
  </si>
  <si>
    <t>Filter Ccy2</t>
  </si>
  <si>
    <t>Filter Notional2</t>
  </si>
  <si>
    <t>Filter Rate2</t>
  </si>
  <si>
    <t>Filter Freq2</t>
  </si>
  <si>
    <t>Filter Counterparty</t>
  </si>
  <si>
    <t>Filter FxvCcy1</t>
  </si>
  <si>
    <t>Filter PVinCcy1</t>
  </si>
  <si>
    <t>Filter PV</t>
  </si>
  <si>
    <t>Filters on the Portfolio sheet now hook into ShowRegularExpressionDialog.</t>
  </si>
  <si>
    <t>Changed number formats of Fx rates shown on Portfolio sheet. Guy request.</t>
  </si>
  <si>
    <t>Changes on sheets Capital, CapInputs and LoanPortfolio.</t>
  </si>
  <si>
    <t>Doing a release to include the "Ghost forms" bug fix in SolumAddin, no changes in this workbook since the last release.</t>
  </si>
  <si>
    <t>Entering notionals on amortising swaps was no longer fully working  (since trade filtering was introduced). Fixed this.</t>
  </si>
  <si>
    <t>Rebased regression test after discovering and fixing bug in the R code for calculating Netset PFEs.</t>
  </si>
  <si>
    <t>Work on building curves from rates including fixed and floating daycount types. Work still in progress.</t>
  </si>
  <si>
    <t>Curves now built from rates including daycounts, though for the time being there is a discrepancy between how we build curves, calibrating to the enhanced functions such as InterestRateSwap2, and how we value trades via the old functions such as InterestRateSwap.</t>
  </si>
  <si>
    <t>DCT 1</t>
  </si>
  <si>
    <t>BDC 1</t>
  </si>
  <si>
    <t>DCT 2</t>
  </si>
  <si>
    <t>BDC 2</t>
  </si>
  <si>
    <t>Mod Foll</t>
  </si>
  <si>
    <t>MinimumWidths</t>
  </si>
  <si>
    <t>A/360</t>
  </si>
  <si>
    <t>First version where we get numbers returned for a "full run" using the "new, with daycounts" code for both curve building and for trade valuation. More testing and bug fixing required.</t>
  </si>
  <si>
    <t>Work on method OpenTradesFile. When encountering an "old" file that contains no BDC or DCT information the code guesses likely values for them, for major currencies only.</t>
  </si>
  <si>
    <t>Bug fix to validate trades, was not working when only one trade was on the portfolio sheet.</t>
  </si>
  <si>
    <t>Change to method SaveToRIRVol to save down parameters of the swaps whose vols are quoted.</t>
  </si>
  <si>
    <t>Removed parameter VolQuoteLogNormal from Config sheet since in practice working with log-normal vols leads to failure in attempt to convert to Normal vols, since negative forward rates exist.</t>
  </si>
  <si>
    <t>Fixed bug found by Guy: doing a full run with PFEs resulted in an error if the first trade on the Portfolio sheet was a WHATIF trade.</t>
  </si>
  <si>
    <t>Improvements to formatting of trade on the TradeExposures sheet - hook into the same code as is used on the Portfolio sheet.</t>
  </si>
  <si>
    <t>At release 229 we forgot that "old code without daycounts" was still being used when calibrating the Hull-White sigmas. The relevant R code, addVol.xccyHW, has now been re-written as addVol.xccyHW2.</t>
  </si>
  <si>
    <t>Minor improvements of CptyExposures sheet.</t>
  </si>
  <si>
    <t>Moved a couple of methods to SolumAddin</t>
  </si>
  <si>
    <t>Rebased regression test</t>
  </si>
  <si>
    <t>Bug fix to method UpdateCptyExposuresSheet.</t>
  </si>
  <si>
    <t>Code re-organisation. The modules of the VBA project were too few and too large. Re-organised with improved module names.</t>
  </si>
  <si>
    <t>Added cashflow viewing on the TradeExposures sheet. So far support InterestRatesSwap, CrossCurrencySwap and CapFloor. Other VFs to follow.</t>
  </si>
  <si>
    <t>Trade Viewer</t>
  </si>
  <si>
    <t>Counterparty Viewer</t>
  </si>
  <si>
    <t>SingleRowHeaders</t>
  </si>
  <si>
    <t>CounterpartyViewer</t>
  </si>
  <si>
    <t>TradeViewer</t>
  </si>
  <si>
    <t>DisplayFormulaBar</t>
  </si>
  <si>
    <t>Cashflow viewing now works from the Portfolio sheet via right-click.</t>
  </si>
  <si>
    <t>DisplayStatusBar</t>
  </si>
  <si>
    <t>Variables accessed by Window activation code</t>
  </si>
  <si>
    <t>and by method ViewTradeACashflows</t>
  </si>
  <si>
    <t>Model is automatically rebuilt in the event that the existing model does not have curves in the required currencies and data for those currencies is available in the Market Data workbook.</t>
  </si>
  <si>
    <t>Model is automatically rebuilt in the event that the existing model does not have credit curves that will be required and those credit curves are available in the market data workbook. If the necessary data is not in the market data workbook then an error is thrown.</t>
  </si>
  <si>
    <t>Re-wrote code to update the TradeViewer sheet. Newer code is simpler and does not break the Regression sheet's formulas.</t>
  </si>
  <si>
    <t>Refactored method UpdateCounterpartyViewerSheet.</t>
  </si>
  <si>
    <t>Bug fix to release 245. If there was a WHATIF trade on the Portfolio sheet the model would always be rebuilt. :-(.</t>
  </si>
  <si>
    <t>Bug fix on CounterpartyViewer sheet - double-clicking to drill-down was not working. Also improved display of cashflows on trades.</t>
  </si>
  <si>
    <t>Improved error message when it looks like R is not installed on the PC.</t>
  </si>
  <si>
    <t>Fix to method CreditsRequired, which needs to return a full list of credits in the event that there are any WHATIF trades.</t>
  </si>
  <si>
    <t>A/365F</t>
  </si>
  <si>
    <t>Made number formatting more consuistent across the sheets of the workbook.</t>
  </si>
  <si>
    <t>Fixed bug found by Guy - refreshing the CounterpartyViewer sheet gave an error in method ChartMaxMin if there were no trades for the counterparty and no WHATIF trades.</t>
  </si>
  <si>
    <t>Change to handling of SwaptionVolParameters, so that they can be expanded to include parameters for feeding vols from Bloomberg.</t>
  </si>
  <si>
    <t>All calls to MySheet.Range("Foo") morphed to RangeFromSheet(MySheet,"Foo") for more informative errors when things go wrong (e.g. when user has managed to corrupt a range name).</t>
  </si>
  <si>
    <t>Hook through to common code for menu on this Audit sheet.</t>
  </si>
  <si>
    <t>Method CreateSnapshot now calles method ReleaseSolumSoftware in SolumAddin.</t>
  </si>
  <si>
    <t>Improved method TestInstallation to install SolumSCRiPTExcel.xll if it's not installed but is available.</t>
  </si>
  <si>
    <t>Changes in method OpenMarketWorkbook</t>
  </si>
  <si>
    <t>NumSimsCVA</t>
  </si>
  <si>
    <t>NumSims</t>
  </si>
  <si>
    <t>TimeGap</t>
  </si>
  <si>
    <t>PFEPercentile</t>
  </si>
  <si>
    <t>Reform of the Config sheet.</t>
  </si>
  <si>
    <t>Method SaveToRConfigSheet does some basic validation.</t>
  </si>
  <si>
    <t>Change to Workbook_WindowActivate to avoid emptying the clipboard on workbook activation.</t>
  </si>
  <si>
    <t>Cross currency swap pricing now works</t>
  </si>
  <si>
    <t>Changes to how Xccy basis swaps are specified in the market data workbook.</t>
  </si>
  <si>
    <t>Changes to how we call method TestInstallation</t>
  </si>
  <si>
    <t>Added more banks to CapInputs sheet.</t>
  </si>
  <si>
    <t>Changes to method TestInstallation.</t>
  </si>
  <si>
    <t>Bug fix to method TestInstallation.</t>
  </si>
  <si>
    <t>Recent changes in the MarketDataWorkbook had broken the Calibration sheet. Fixed this.</t>
  </si>
  <si>
    <t>Added spreadsheet-callable VBA function GetDiscountFactors (a wrapper to R function of the same name).</t>
  </si>
  <si>
    <t>Bug fix to TradeSolver - was not working for FxForward, Notional 2.</t>
  </si>
  <si>
    <t>30/360</t>
  </si>
  <si>
    <t>Bug fix to viewing trade cashflows.</t>
  </si>
  <si>
    <t>Moved code for saving data from the market data to R out of this workbook and into the market data workbook, so we can share with Cayley.</t>
  </si>
  <si>
    <t>bug fix related to BuildCurveFromRates.</t>
  </si>
  <si>
    <t>Act/365L</t>
  </si>
  <si>
    <t>Now call sParseFrequencyString, sParseDCT and sSupportedDCTs from SolumAddin. Reduces code duplication.</t>
  </si>
  <si>
    <t/>
  </si>
  <si>
    <t>Day Count Fraction = [360 x (Y2-Y1) + 30 x (M2-M1) + (D2*-D1*)]/360</t>
  </si>
  <si>
    <t>D2* = D2 unless D2 = 31 and D1 &gt; 29 in which case D2* = 30</t>
  </si>
  <si>
    <t>30E/360</t>
  </si>
  <si>
    <t>30E/360 (ISDA)</t>
  </si>
  <si>
    <t>Day Count Fraction = (Date2 - Date1)/360</t>
  </si>
  <si>
    <t>Day Count Fraction = (Date2 - Date1)/365</t>
  </si>
  <si>
    <t>Act/Act</t>
  </si>
  <si>
    <t>If coupons are not annual then if Date2 is in a leap year, then DiY = 366, else DiY = 365</t>
  </si>
  <si>
    <t>ActB/ActB</t>
  </si>
  <si>
    <t>Day Count Fraction between Date1 (Y1,M1,D1) and Date2 (Y2,M2,D2) is:</t>
  </si>
  <si>
    <t>D1* = Min(D1,30)</t>
  </si>
  <si>
    <t>D2* = Min(D2,30)</t>
  </si>
  <si>
    <t>D1* = D1 unless D1 is 31 or Date1 is last day of February in which case D1* = 30</t>
  </si>
  <si>
    <t>D2* = D2 unless either (i) Date2 is last day of February, but not the swap maturity date or (ii)  D2 = 31 in which case D2* = 30</t>
  </si>
  <si>
    <t>If coupons are annual then if February 29 is in the range from Date1 (exclusive) to Date2 (inclusive), then DiY = 366, else DiY = 365</t>
  </si>
  <si>
    <t>DayCountFraction = 1 if coupons are annual, 0.5 if coupons are semi-annual, 0.25 if coupons are quarterly etc.</t>
  </si>
  <si>
    <t>Day Count Fraction = (Date2 - Date1)/DiY</t>
  </si>
  <si>
    <t>Day Count Fraction = Sum over all dates x from Date1 (inclusive) to Date2 (exclusive) of contributions 1/366 if x is in a leap year and 1/365 otherwise.</t>
  </si>
  <si>
    <t>DayCount dialog noe has Help explaining meaning of DCTs.</t>
  </si>
  <si>
    <t>all calls to SFns.Providers.Default.EvaluateExpression now wrapped by ThrowIfErrorFromR so that error messages are cleaner.</t>
  </si>
  <si>
    <t>Amended calls to method sJustifyArrayOfStrings.</t>
  </si>
  <si>
    <t>Tweak to method TradeSolver so that can solve for cells that are currently empty.</t>
  </si>
  <si>
    <t>Replaced use of Application.InputBox with InputBoxPlus.</t>
  </si>
  <si>
    <t>Change to method CurrenciesRequired to promote the major currencies to alleviate the "add a currency and PFEs of existing trades changes" problem.</t>
  </si>
  <si>
    <t>Removed method TestInstallation since that's been moved to SolumAddin.</t>
  </si>
  <si>
    <t>Removed hidden sheet Currencies - data has been moved to SolumAddin for better sharing with Cayley.</t>
  </si>
  <si>
    <t>Fomatting change on Config sheet.</t>
  </si>
  <si>
    <t>Changes relating to moving file locations to c:\Program Files\Solum\...</t>
  </si>
  <si>
    <t>More changes relating to moving file locations to c:\Program Files\Solum\...</t>
  </si>
  <si>
    <t>Settings on Config sheet now persisted in the Registry</t>
  </si>
  <si>
    <t>Settings on Config sheet now persisted in the Registry, cont.</t>
  </si>
  <si>
    <t>Small changes to formatting of trades - negative rates show in red.</t>
  </si>
  <si>
    <t>A number of changes to the R environment menu - to bring into line with equivalent menu in Cayley.</t>
  </si>
  <si>
    <t>Removed four settings from the Config sheet: AnchorDate (lives in MDWb), BaseCCY (lives in MDWb), UseSobol (hard-wired to TRUE), InterpolateCovariance (hard-wired to TRUE). For PFE we now enter 95% as 95% rather than the confusing "Enter 95% as 5%" which we had until now.</t>
  </si>
  <si>
    <t>AnchorDate</t>
  </si>
  <si>
    <t>Numeraire</t>
  </si>
  <si>
    <t>Discount factors are 1 for this date</t>
  </si>
  <si>
    <t>Put AnchorDate and BaseCCY back on the Config sheet, but outside the range that's written to the Registry.</t>
  </si>
  <si>
    <t>Bug fix to method shConfig.ConfigRange.</t>
  </si>
  <si>
    <t>Fix in method SaveToRConfigSheet. Fixes "#Unrecognised value (OurName)on the Config sheet!" error seen by Guy.</t>
  </si>
  <si>
    <t>Simplified some formulas on the CVAVaR sheet.</t>
  </si>
  <si>
    <t>Changes on CVAVaR sheet. BUT may be double counting the 99% confidence - need to look at this on Monday.</t>
  </si>
  <si>
    <t>Simplified calls to ShowRegularExpressionDialog.</t>
  </si>
  <si>
    <r>
      <t xml:space="preserve">Simplified the formulas on the CVAVaR sheet in column "Advanced Capital", using Teimuraz's formula K = 3 * (CVAVaR </t>
    </r>
    <r>
      <rPr>
        <vertAlign val="superscript"/>
        <sz val="11"/>
        <rFont val="Calibri"/>
        <family val="2"/>
        <scheme val="minor"/>
      </rPr>
      <t>current</t>
    </r>
    <r>
      <rPr>
        <sz val="11"/>
        <rFont val="Calibri"/>
        <family val="2"/>
        <scheme val="minor"/>
      </rPr>
      <t xml:space="preserve"> + CVAVaR </t>
    </r>
    <r>
      <rPr>
        <vertAlign val="superscript"/>
        <sz val="11"/>
        <rFont val="Calibri"/>
        <family val="2"/>
        <scheme val="minor"/>
      </rPr>
      <t>stressed</t>
    </r>
    <r>
      <rPr>
        <sz val="11"/>
        <rFont val="Calibri"/>
        <family val="2"/>
        <scheme val="minor"/>
      </rPr>
      <t>). Nicolas' formulas should have collapsed down to this since index and single name hedges are ignored but mistakes in the formulas meant that they did not correctly collapse down. :-(</t>
    </r>
  </si>
  <si>
    <t>Fix to GetCalibratedFxVols</t>
  </si>
  <si>
    <t>Work in progress on CVAVaR sheet.</t>
  </si>
  <si>
    <t>Removed the LoanPortfolio sheet and Banking RWAs from the Capital sheet.</t>
  </si>
  <si>
    <t>Top item in menu now reads Build Hull-White Model or Rebuild Hull-White Model according to whether the model exists. This is the same behaviour as Cayley.</t>
  </si>
  <si>
    <t>Changes to CVAVaR sheet to make clear which inputs are used for which of the two calculations Advanced or Standard.</t>
  </si>
  <si>
    <t>Started work on Exposure at Default CMM method</t>
  </si>
  <si>
    <t>Change to CheckModelHasCurves to use sColumnFromTable.</t>
  </si>
  <si>
    <t>Notes</t>
  </si>
  <si>
    <t>Bug fix to SaveDataframe.</t>
  </si>
  <si>
    <t>Work in progress on EADCEM</t>
  </si>
  <si>
    <t>Work in progress on EADCEM - can now do forward projection of future EaD under CEM.</t>
  </si>
  <si>
    <t>Change to method GetCalibratedVols to take ModelName argument.</t>
  </si>
  <si>
    <t>Removed Stop statement.</t>
  </si>
  <si>
    <t>Sheets Capital, CapInputs and CVAVaR hidden for now.</t>
  </si>
  <si>
    <t>Added reference to c:\Program Files\Solum\AddIns\SCRiPTUtils.xlam.</t>
  </si>
  <si>
    <t>Removed 12 functions that have been moved to SCRiPTUtils.xlam: ArePackagesMissing, CleanOutREnvironment, FirstElementOf, InstallPackages, LoggingIsOn, LoggingSwitchOn, SaveDataframe, SaveREnvironment, ShowLogFiles, SourceRCode, stopImplicitCluster, To1Based2D</t>
  </si>
  <si>
    <t>Imported Hermione's code to take trades in R format and flip back to Portfolio-sheet format. Removed code duplicating existing methods in this project and one or two changes to make the code compile. Code not yet in use.</t>
  </si>
  <si>
    <t>Work on code to translate trades in R format to Portfolio sheet format.</t>
  </si>
  <si>
    <t>Can now open trades in Calypso export format. Needs debugging for all trade types except FxForward.</t>
  </si>
  <si>
    <t>Minor cleanups via MZTools</t>
  </si>
  <si>
    <t>Hooked in to method ShowSelectTrades when opening an Airbus (Calypso Export) file.</t>
  </si>
  <si>
    <t>Corrected error handling in method SaveTradesFile - errors were being masked as "type mismatch"</t>
  </si>
  <si>
    <t>Ensure we don't overwrite a Calypso export file when using Menu &gt; Save</t>
  </si>
  <si>
    <t>Improvements to code for deleting trades from the Portfolio sheet.</t>
  </si>
  <si>
    <t>Method RTradesToPortfolioTrades re-written for FxOptions.</t>
  </si>
  <si>
    <r>
      <t xml:space="preserve">Change to code that updates PVs on the Portfolio sheet so that trades with a PV greater than 2^31 now correctly display. Previously PV would show as empty thanks to a shortcoming of the C# code when reading the contents of a dataframe in R to an array in Excel. </t>
    </r>
    <r>
      <rPr>
        <sz val="11"/>
        <color rgb="FFFF0000"/>
        <rFont val="Calibri"/>
        <family val="2"/>
        <scheme val="minor"/>
      </rPr>
      <t>This change has associated changes in R!</t>
    </r>
  </si>
  <si>
    <t>Method RTradesToPortfolioTrades corrected to handle amortising InterestRateSwaps.</t>
  </si>
  <si>
    <t>Method RTradesToPortfolioTrades fixed for CrossCurrencySwaps (not yet amortising ones though).</t>
  </si>
  <si>
    <t>Improvements to method OpenTradesFile.</t>
  </si>
  <si>
    <t>Added test harness TestTradeConversion that checks whether PortfolioTradesToRTrades and RTradesToPortfolio trades correctly invert one another for the trades on the Portfolio sheet.</t>
  </si>
  <si>
    <t>Bug fix to method UpdateTradeViewerSheet.</t>
  </si>
  <si>
    <t>FxOptionStrip</t>
  </si>
  <si>
    <t>FxOptionStripTemplate</t>
  </si>
  <si>
    <t>Started work on trade compression for FxOptions using new valuation function FxOptionStrip.</t>
  </si>
  <si>
    <t>3) Change the loop inside method FormatTradesRange to cope with NewTradeType</t>
  </si>
  <si>
    <t>6) Change method PortfolioTradesToRTrades to handle conversion of the trades from Portfolio sheet format to R format</t>
  </si>
  <si>
    <t>7) Change method RTradesToPortfolioTrades to do the reverse conversion.</t>
  </si>
  <si>
    <t>8) Test steps 6) and 7) via Menu &gt; R Environment &gt; Test Trade Conversion</t>
  </si>
  <si>
    <t>9) Write new valuation function in insts.R - remember it can't call methods in the model since these won't resolve in the parallel environment</t>
  </si>
  <si>
    <t>Test harness under Menu &gt; R environment &gt; Test trade conversion. I believe that methods PortfolioTradesToRTrades and RTradesToPortfolioTrades are now correct inverses of one another for all valid trades.</t>
  </si>
  <si>
    <t>More work on FxOptionStrip.</t>
  </si>
  <si>
    <t>FxOptionStrip works, though not fully tested yet.</t>
  </si>
  <si>
    <t>VFs FxOptionStrip and FixedCashflows not handled by code of Capital sheet. Work started on fixing that.</t>
  </si>
  <si>
    <t>As long as trades not compressed, Capital sheet now yields numbers rather than errors.</t>
  </si>
  <si>
    <t>FxFwdStripTemplate</t>
  </si>
  <si>
    <t>FxForwardStrip</t>
  </si>
  <si>
    <t>Compressing trades makes Airbus's trades about 2.5 times faster to process for PFE. However compressing to FixedCashflows makes Capital calculations difficult since we lose track of trade notionals. So started work on new VF FxForwardStrip.</t>
  </si>
  <si>
    <t>Done</t>
  </si>
  <si>
    <t>VBA coding for FxForwardStrip completed. Have to do R coding…</t>
  </si>
  <si>
    <t>10) Ensure the method EnhanceTradeData copes with trades of the new type</t>
  </si>
  <si>
    <t>11) In method calcqueue.R::DoAllTasks the name of the new valuation function must be mentioned in ExportList, together with any sub-routines that the new valuation function uses</t>
  </si>
  <si>
    <t>12) Likewise for methods ValuePortfolio, ValuePortfolioForPFE2, ForwardTradeValues</t>
  </si>
  <si>
    <t>13) Ensure that the function TradeLife correctly copes with trades of the new type</t>
  </si>
  <si>
    <t>14) Method utilsvalue::ValueTrade needs new else if{} statement.</t>
  </si>
  <si>
    <t>Last updated 31 Dec 2016 - after adding VF FxForwardStrip.</t>
  </si>
  <si>
    <t>FxForwardStrip R code now works</t>
  </si>
  <si>
    <t>Reform to menu for adding trades - put Fixed Cashflows, Fx Forward Strip and Fx Option Strip one level deeper in the menu.</t>
  </si>
  <si>
    <t>Method EffectiveMaturityForTradesWithCP rewritten to cope with trade types FxForwardStrip and FxOptionStrip.</t>
  </si>
  <si>
    <t>Added 41 rows to the CapInputs sheet. Data shown in red since no attempt to make it accurate yet, simply want to get numbers for trades in the Cayley portfolio.</t>
  </si>
  <si>
    <t>Bug fix to method ChooseBanks.</t>
  </si>
  <si>
    <t>Fix to EffectiveMaturityForTradesWithCP to cope with amortising swaps.</t>
  </si>
  <si>
    <t>Release from Solum to get Git up to date.</t>
  </si>
  <si>
    <t>Fixes to UpdateTradeViewerSheet and UpdateCounterpartyViewerSheet to cope with the fact that we now run CVA\PFE for only a subset of trades in the AllPortfolio dataframe</t>
  </si>
  <si>
    <t>Tweak to method ChooseBanks.</t>
  </si>
  <si>
    <t>Improved double-click handler on worksheet Capital.</t>
  </si>
  <si>
    <t>Work on method UpdateReturnOnRWAsByCounterparty to better handle counterparties with no trades.</t>
  </si>
  <si>
    <t>Change ReleaseCleanup to set NumSimsCVA to 2047 and NumSims to 255.</t>
  </si>
  <si>
    <t>Method EADCEMForNettingSet now calls UncompressTrades and so can cope with FxOptionStrip and FxForwardStrip.</t>
  </si>
  <si>
    <t>Formatting changes on CapInputs sheet.</t>
  </si>
  <si>
    <t>Philip Swannell + Hermione Glyn</t>
  </si>
  <si>
    <t>Work on Capital and CVAVaR sheets.</t>
  </si>
  <si>
    <t>New menu items Compression &gt; Compress/Uncompress</t>
  </si>
  <si>
    <t>Bug fix in column "Effective EE" on sheet CVAVaR. Old formula was not correct if EPE (as a function of time) hits zero and then becomes positive.</t>
  </si>
  <si>
    <t>Tweaks to Compress\Uncompress.</t>
  </si>
  <si>
    <t>Tweaks to method ChooseBanks.</t>
  </si>
  <si>
    <t>Removed column "Reg scaling" from CapInputs sheet. Was set to 106% for all banks and we now have the 1.06 in the code of function RiskWeightIRB</t>
  </si>
  <si>
    <t>Set "Exemption" flag on many of the banks on the CapInputs sheet.</t>
  </si>
  <si>
    <t>Added method RiskWeightStandard, work on Capital and CVAVaR sheets</t>
  </si>
  <si>
    <t>Removed column "Spread" from the CapInputs sheet since we now use credit curves from R.</t>
  </si>
  <si>
    <t>Tweaks to ReleaseCleanup.</t>
  </si>
  <si>
    <t>Parameter</t>
  </si>
  <si>
    <t>LinesWorkbook</t>
  </si>
  <si>
    <t>Added LinesWorkbook to Config sheet.</t>
  </si>
  <si>
    <t>Work on moving Capital Inputs data from this workbook to the Lines workbook.</t>
  </si>
  <si>
    <t>Help on Day Count Types</t>
  </si>
  <si>
    <t>Removed sheet CapInputs.</t>
  </si>
  <si>
    <t>Bug fix to method SaveToRConfigSheet</t>
  </si>
  <si>
    <t>Changed how menu option "Cashflows" works. Rather than appearing in a new workbook whose look and feel emulates a dialog box, we simply display in a sheet of this workbook - CashflowsDrilldown. This is similar behaviour to the SpeedGridDrilldown in the Cayley workbook. The code to "make a workbook emulate a modal dialog" was much more trouble than it was worth.</t>
  </si>
  <si>
    <t>CashflowDrilldown</t>
  </si>
  <si>
    <t>Removed method CompareWorkbookFormulas - it's moved to SolumAddin.</t>
  </si>
  <si>
    <t>Fixes in both VBA code and R code for the case when none of the chosen banks have trades on the PortfolioSheet.</t>
  </si>
  <si>
    <t>Application.Statusbar -&gt; StatusBarWrap</t>
  </si>
  <si>
    <t>AnnotateBankNames2 &gt; AnnotateBankNames</t>
  </si>
  <si>
    <t>Ran Rob Bovey's CodeCleaner.</t>
  </si>
  <si>
    <t>Fix to method IsPFEDataAvailable, which I broke recently.</t>
  </si>
  <si>
    <t>Changes to method LookupBankInfo to support more than one bank in a single call.</t>
  </si>
  <si>
    <t>The formula in the "Rating weight" cell on the CVAVaR sheet got corrupted. Fixed this and checked for other formula corruptions using "Compare Workbook Fiormulas" utility against a version of SCRiPT from 10 Jan. Found none.</t>
  </si>
  <si>
    <t>Changed x axis in charts on TradeViewer and CounterpartyViewer to display time in years rather than dates.</t>
  </si>
  <si>
    <t xml:space="preserve">Implemented automatic backing up of trades on the Portfolio sheet. Happens when the user clicks on the menu button, and trades have not been backed up in the last 5 minutes and trades have changed since the last backup. Back ups can be restored via </t>
  </si>
  <si>
    <t>Always backup trades before deleting any.</t>
  </si>
  <si>
    <t>Removed declared but unused variables.</t>
  </si>
  <si>
    <t>Changed method BackupTrades so that if trades have not changed since the previous time they were backed up we simply rename the previous backup to reflect the current time.</t>
  </si>
  <si>
    <t>Tweaks to Worksheet_BeforeDoubleClick.</t>
  </si>
  <si>
    <t>Changes relating to DoTradeLevelAnalysis</t>
  </si>
  <si>
    <t>More changes relating to DoTradeLevelAnalysis</t>
  </si>
  <si>
    <r>
      <t>Percentage used for PFE calculations.</t>
    </r>
    <r>
      <rPr>
        <sz val="11"/>
        <color rgb="FFFF0000"/>
        <rFont val="Calibri"/>
        <family val="2"/>
      </rPr>
      <t xml:space="preserve"> Recommended 95%.</t>
    </r>
  </si>
  <si>
    <t>Changed title of chart on Capital sheet - Guy request.</t>
  </si>
  <si>
    <t>Tweak to method UpdateReturnOnRWAsByCounterparty.</t>
  </si>
  <si>
    <t>Added method ValidateCapitalInputs, does basic validation on the input data on the lines workbook, including ensuring that when the EaD method is CEM then the CVA Capital Charge method is STD rather than ADV.</t>
  </si>
  <si>
    <t>Tweak to method ChooseBanks to better cope with trades for which we have no lines data.</t>
  </si>
  <si>
    <t>Call BackupTrades after opening a trades file.</t>
  </si>
  <si>
    <t>Tweak to method AddTrades.</t>
  </si>
  <si>
    <t>PV</t>
  </si>
  <si>
    <t>Method GetDataForDashboard now takes account of the 'DVA benefit %' and 'FVA charge %' held in the lines workbook, with associated changes on the xVADashboard.</t>
  </si>
  <si>
    <t>Visible</t>
  </si>
  <si>
    <t>Hidden</t>
  </si>
  <si>
    <t>Changes to sheet visibility - Guy request.</t>
  </si>
  <si>
    <t>Tweak to calls to ShowMultipleChoiceDialog.</t>
  </si>
  <si>
    <t>Correction to xaxis minimum on CounterpartyViewer sheet and TradeViewer sheets.</t>
  </si>
  <si>
    <t>Removed "Format Cells" as an option in the menu.</t>
  </si>
  <si>
    <t>"Generate Reports" menu option failed to copy charts into the report workbook. Corrected that.</t>
  </si>
  <si>
    <t>Now store the EaD method and the CVA capital charge method in a single column in the Lines workbook.</t>
  </si>
  <si>
    <t>Change to method SaveTradeFiles to avoid getting a "Do you want to overwrite" dialog twice.</t>
  </si>
  <si>
    <t>Final release before trip to Munich.</t>
  </si>
  <si>
    <t>Tweak to trade double click handler to improve counterparty selection.</t>
  </si>
  <si>
    <t>Tweak to error description generated by method IsPFEDataAvailable.</t>
  </si>
  <si>
    <t>Introduced more calls to method TestInstallation, for consistency with Cayley.</t>
  </si>
  <si>
    <t>KVA calculation was not working for banks when EaD method was CEM thanks to formula error on sheet CVAVaR. Fixed this.</t>
  </si>
  <si>
    <t>Further fix to KVA calculation. Was getting "'#Error!" in the case of banks using CEM/STD. Also when calculating the RiskWeight under IRB, now use CappedEffectiveMaturity rather than EffectiveMaturity.</t>
  </si>
  <si>
    <t>Bug fix to call to OpenLinesWorkbook - we were checking for data columns required for Cayley, but shouldn't have.</t>
  </si>
  <si>
    <t>Added sheet SACCRTesting with wrappers to R functions for SACCR calculation.</t>
  </si>
  <si>
    <t>Bug fix to showing display of cashflows - was broken by changes made for SACCR.</t>
  </si>
  <si>
    <t>Bug fix to validation of CapFloor trades.</t>
  </si>
  <si>
    <t>More work on SACCR.</t>
  </si>
  <si>
    <t>Beta version of code with SACCR. Sheet SACCRTesting is hidden by default.</t>
  </si>
  <si>
    <t>Handle case in which Numeraire currency and "Collateral Currency" are different.</t>
  </si>
  <si>
    <t>CollateralCcy</t>
  </si>
  <si>
    <t>The model is calibrated to swaps collateralised in this currency. For this currency discount factors are inferred from swaps Fixed vs OIS, for other currencies they are inferred from the collateral currency discount factors via calibration to cross currency basis swaps, Libor vs Libor.</t>
  </si>
  <si>
    <t>Tweaks to trade solving.</t>
  </si>
  <si>
    <t>Call SetCalculationToManual in Workbook_Open. Ensure that market always contains the CollateralCcy curve.</t>
  </si>
  <si>
    <t>Hermione Glyn</t>
  </si>
  <si>
    <t>Bug fix in modCapital!EADCEMForNettingSet (handle case of one trade in netting set correctly). Also SACCR bug fixes.</t>
  </si>
  <si>
    <t>InflationZCSwap</t>
  </si>
  <si>
    <t>InflationZCSwapTemplate</t>
  </si>
  <si>
    <t>InflationYoYSwapTemplate</t>
  </si>
  <si>
    <t>InflationYoYSwap</t>
  </si>
  <si>
    <t>Started work on UI for inflation swaps.</t>
  </si>
  <si>
    <t>Done for inflation?</t>
  </si>
  <si>
    <t>What had to change to implement amortising notional on IRS</t>
  </si>
  <si>
    <t>Then back to VBA</t>
  </si>
  <si>
    <t>15) Solving to work sensibly...</t>
  </si>
  <si>
    <t>16) Check method CurrenciesRequired will still work - especially when adding new "asset class" e.g. inflation</t>
  </si>
  <si>
    <t>Methods FormatTradesRange, TradeDoubleClickHandler, ValidateTrades, PortfolioTradesToRTrades, RTradesToPortfolioTrades all updated to handle new trade types InflationZCSwap and InflationYoYSwap.</t>
  </si>
  <si>
    <t>Removed method AutofitColumns as it's been moved to SolumAddin for calling from other workbooks.</t>
  </si>
  <si>
    <t>Tweak to method RunRCode  to clear out status bar at start of method.</t>
  </si>
  <si>
    <t>Now see numbers (clearly wrong numbers) for the value of InflationZCSwap trades. Changes to TradeSolver to cope with such trades.</t>
  </si>
  <si>
    <t>No longer check dates on the Portfolio sheet are whole numbers - reintroduce that check when inflation trades are working again.</t>
  </si>
  <si>
    <t>Soft-coded the name of the model in R, want to switch from "model" to SCRiPTModel to avoid possibility of bugs caused by methods accessing model from the global environment when intention was to use variable in the function's own environment.</t>
  </si>
  <si>
    <t>Fixed bugs that the previous change revealed.</t>
  </si>
  <si>
    <t>Tweak to change event of Config sheet.</t>
  </si>
  <si>
    <t>Fix to TradeSolver - broken in release 421.</t>
  </si>
  <si>
    <t>Added method EvaluatePlus.</t>
  </si>
  <si>
    <t>Tweaks to EvaluatePlus.</t>
  </si>
  <si>
    <t>Bug fix to TradeSolver for FxForwards, solving on Notional2</t>
  </si>
  <si>
    <t>UKRPI</t>
  </si>
  <si>
    <t>Changes to method UpdateReturnOnRWAsByCounterparty that was causing Excel to crash(!). Problem related to relying on change event of Capital sheet to ensure correct order of sheet calculation. Instead disabled the change event and coded correct order explicitly.</t>
  </si>
  <si>
    <t>Index</t>
  </si>
  <si>
    <t>Tweak to ReleaseCleanup.</t>
  </si>
  <si>
    <t>Can now view cashflows for InflationZCSwap.</t>
  </si>
  <si>
    <t>Work on InflationYoYSwap.</t>
  </si>
  <si>
    <t>Tweak to ShowTradesForR.</t>
  </si>
  <si>
    <t>InflationYoYSwap now returning numbers as opposed to errors.</t>
  </si>
  <si>
    <t>InflationYoYSwaps now solvable. PV's clearly bugged...</t>
  </si>
  <si>
    <t>InflationYoY swaps now have more reasonable-looking PV, can generate cashflows and work for CVA calculation (i.e. give numbers, not errors...)</t>
  </si>
  <si>
    <t>Upgraded method CheckModelHasCurves to cope with inflation indices.</t>
  </si>
  <si>
    <t>Can now double-click just below last trade to add another.</t>
  </si>
  <si>
    <t>FormatTradeRange now updates currency of non-index leg of InflationYoY swaps.</t>
  </si>
  <si>
    <t>Tweak to error handling in ReleaseCleanup.</t>
  </si>
  <si>
    <t>Bug fixes to handling of "&lt;Doubleclick to add trade&gt;" message.</t>
  </si>
  <si>
    <t>Tweaks to TradeDoubleClickHandler.</t>
  </si>
  <si>
    <t>Reintroduced whole-number check in method ValidateTrades since almost finished debugging inflation trades</t>
  </si>
  <si>
    <t>Change so that links are updated on opening this workbook with no prompt (Data &gt; Edit links &gt; Startup Prompt &gt; Don't display the alert and update links.</t>
  </si>
  <si>
    <t>Figured out what was causing the link to SCRiPTUtils and got rid of it.</t>
  </si>
  <si>
    <t>Change to method CalculateRequiredMarketData. No need to add an additional currency (to ensure model has more than one) if there is an inflation index since at the lower level an inflation index is a currency.</t>
  </si>
  <si>
    <t>Fix to method PasteTradesToPortfolioSheet - in some circumstances the message &lt;Doubleclick to add trade&gt; could appear more than once.</t>
  </si>
  <si>
    <t>Changed registry key at which we store lists of recently-used files. Was CVAFromRTradeFiles. Now SCRiPTTradeFiles.</t>
  </si>
  <si>
    <t>Change to SetTradesRangeColumnWidths to make columns on the Portfolio sheet narrower.</t>
  </si>
  <si>
    <t>Release with first defensible calibration for inflation trades.</t>
  </si>
  <si>
    <t>Hooked in to new method DatePicker.</t>
  </si>
  <si>
    <t>Tweak to trade double-clicking.</t>
  </si>
  <si>
    <t>Changes in FormatTradesRange to allow entering of start and end dates as just integers meaning number of years from AnchorDate and trade start date respectively.</t>
  </si>
  <si>
    <t>Tweaks to calls to DatePicker.</t>
  </si>
  <si>
    <t>Activate Portfolio sheet after opening a trades file.</t>
  </si>
  <si>
    <t>Corporate Receives</t>
  </si>
  <si>
    <t>Corporate Pays</t>
  </si>
  <si>
    <t>EUR/</t>
  </si>
  <si>
    <t>No longer use merged cells in the header rows of the Portfolio sheet.</t>
  </si>
  <si>
    <t>Main.R -&gt; SCRiPTMain.R</t>
  </si>
  <si>
    <t>The gap (in years) between points on the time grid for PFE calculations.</t>
  </si>
  <si>
    <t>Change to associated R code - no longer call TimeAdjust.</t>
  </si>
  <si>
    <t>Config sheet no longer has TimeEnd, use TStar instead.</t>
  </si>
  <si>
    <t>Cope with MarketData workbooks that do not have a "BuildCurvesFromRates setting on their Config sheet.</t>
  </si>
  <si>
    <t>Fixed double-click error on Config sheet.</t>
  </si>
  <si>
    <t>Fix to method EffectiveMaturityForTradesWithCP wrt amortising trades.</t>
  </si>
  <si>
    <t>Changes necessary because of variable-name reform in the R code.</t>
  </si>
  <si>
    <t>Removed RecoveryRate from Config sheet - we now set recovery rates by counterparty on the Credit sheet of the market data workbook.</t>
  </si>
  <si>
    <t>Improvements to trade double-click handling.</t>
  </si>
  <si>
    <t>Hooked in to new functionality in BackUpRange.</t>
  </si>
  <si>
    <t>Hooked in to new functionality in BackUpRange (2).</t>
  </si>
  <si>
    <t>Noticed and fixed bugs to handling of globals gBlockCalculateEvent and gBlockChangeEvent.</t>
  </si>
  <si>
    <t>Now call single wrapper to C# layer, which we wish to replace.</t>
  </si>
  <si>
    <t>Work (not finished) to eliminate method CallRFunction, want to replace with sExecuteRCode.</t>
  </si>
  <si>
    <t>All calls to R now routed via sExecuteRCode in SCRiPTUtils</t>
  </si>
  <si>
    <t>Rebased Regression sheet.</t>
  </si>
  <si>
    <t>Changed links for new location of SolumAddin.</t>
  </si>
  <si>
    <t>Changes to switch away from using Paul's C# addin, instead we use BERT (http://bert-toolkit.com)</t>
  </si>
  <si>
    <t>Changes to calls to method TestInstallation</t>
  </si>
  <si>
    <t>Fixed type mismatch resulting from differences between calling R via BERT and via PB's C#.</t>
  </si>
  <si>
    <t>Can now calculate PVs even when the Counterparty field has not been populated.</t>
  </si>
  <si>
    <t>Bug fix to UpdatePortfolioSheet.</t>
  </si>
  <si>
    <t>Bug fix to code that handles the user typing simply 5 as the maturity date of a five year swap.</t>
  </si>
  <si>
    <t>Bug fix to UpdateCounterpartyViewer sheet - type mismatch was happening if there was only one counterparty thanks to differences in behaviour between BERT and old C# code.</t>
  </si>
  <si>
    <t>Change to method FormatTradesRange so that "k", "m" and "b" can be used as abbreviations for thousand, million and billion (for columns Notional1 and Notional2)</t>
  </si>
  <si>
    <t>Tweaks to double-click handling on Portfolio sheet.</t>
  </si>
  <si>
    <t>Code comments only.</t>
  </si>
  <si>
    <t>Improvements to release 480 strings such as "5.5b" now correctly interpreted</t>
  </si>
  <si>
    <t>Tweak to method SurvivalProbability.</t>
  </si>
  <si>
    <t>Compatibility with BERT 1.62.1</t>
  </si>
  <si>
    <t>Compatibility with BERT 1.62.2 - no longer have to code around crash bug.</t>
  </si>
  <si>
    <t>Changes to sort buttons.</t>
  </si>
  <si>
    <t>Tweak to method ShowMenu needed for recent changes to method GetMRUList</t>
  </si>
  <si>
    <t>Fix to method EADSACCRForNettingSet relating to switch from C# to BERT (bug was spotted by Hermione).</t>
  </si>
  <si>
    <t>Cell formatting on CounterpartyViewer and TradeViewer sheets.</t>
  </si>
  <si>
    <t>Changes since no longer necessary to code around bugs in Bert 1.62</t>
  </si>
  <si>
    <t>Fixed bug in method SourceRCode. Was not working correctly since switch to BERT.</t>
  </si>
  <si>
    <t>Replaced calls to SurvivalProbability (VBA method of this workbook) with sSurvivalProbability - function in SCRiPTUtils.</t>
  </si>
  <si>
    <t>Deleted no-longer-used method SaveToRNumericMatrix.</t>
  </si>
  <si>
    <t>Deleted function GetDiscountFactors - we now have sDiscountFactor in SCRiPTUtils</t>
  </si>
  <si>
    <t>Changes for SCRiPTUtils.xlam having become SolumSCRiPTUtils.xlam</t>
  </si>
  <si>
    <t>Changing function names: sDiscountFactor &gt; SCRiPT_DF, sSurvivalProbability &gt; SCRiPT_SurvProb</t>
  </si>
  <si>
    <t>Removed complicated function TrimZeros - changes to the R code mean that sSuppressNAs now does the job much more simply.</t>
  </si>
  <si>
    <t>Fix to get trades menu after user has hiot "Clear Recent Files List"</t>
  </si>
  <si>
    <t>RestoreTradesAtStartup</t>
  </si>
  <si>
    <t>New setting on Config sheet, RestoreTradesAtStartup.</t>
  </si>
  <si>
    <t>User now discouraged from saving this workbook, and prompted to save the trades instead.</t>
  </si>
  <si>
    <t>Formatting change on Audit sheet.</t>
  </si>
  <si>
    <t>Tweak to method OpenMostRecentBackup.</t>
  </si>
  <si>
    <t>Changes in method SaveTradesFile</t>
  </si>
  <si>
    <t>Bug fix to previous release - used .Value instead of .Value2 which broke trade validation.</t>
  </si>
  <si>
    <t>Method PasteTradesToPortfolioSheet now calls ResetSortButtons and RepositionSortButtons.</t>
  </si>
  <si>
    <t>Ran Ribbon Commander Code Cleaner.</t>
  </si>
  <si>
    <t>New setting on Config sheet: SaveCubes, and changes to code that refreshes the TradeViewer sheet and the Counterparty viewer sheet.</t>
  </si>
  <si>
    <t>Work on trade backups.</t>
  </si>
  <si>
    <t>Changes in Workbook_BeforeSave.</t>
  </si>
  <si>
    <t>Recently-used files list now shows brief summary of the file's contents.</t>
  </si>
  <si>
    <t>Recently-used files list now shows brief summary of the file's contents (2).</t>
  </si>
  <si>
    <t>Speedups via caching (memoising) to trade summary changes.</t>
  </si>
  <si>
    <t>Changes to the R code called to update TradeViewer and CounterpartyViewer sheets.</t>
  </si>
  <si>
    <t>Bug fix to method AmendMRU</t>
  </si>
  <si>
    <t>Bug fix to GetTradesSummary</t>
  </si>
  <si>
    <t>SavePaths</t>
  </si>
  <si>
    <t>Switch to using new method SCRiPT_Results in place of DataForViewerSheet, PathsForViewerSheet and NetsetResults.</t>
  </si>
  <si>
    <t>More work on switching to using SCRiPT_Results</t>
  </si>
  <si>
    <t>Memory-saving change to how R code saves data for WhatIf trades</t>
  </si>
  <si>
    <t>Fix to method IsPFEDataAvailable.</t>
  </si>
  <si>
    <t>Changes in SaveTradesFile and GetTradesSummaryFromFile</t>
  </si>
  <si>
    <t>Bug fixes to method AmendMRU</t>
  </si>
  <si>
    <t>Changes in Workbook_Open event.</t>
  </si>
  <si>
    <t>Change in ShowMenu to grey-out "Save Trades" when currently-open trades file is not an stf file.</t>
  </si>
  <si>
    <t>Method GetTradesSummaryFromFile now copes with both trade file formats.</t>
  </si>
  <si>
    <t>Removed call to funciton CleanErrorFromR.</t>
  </si>
  <si>
    <t>Tweaks to FormatTradesRange.</t>
  </si>
  <si>
    <t>Method RunRCode now calls SaveDataFromMarketWorkbookToFile in addition to SaveDataFromMarketWorkbookToR.</t>
  </si>
  <si>
    <t>Removed call to ShowFileInTextEditor that was left in in error.</t>
  </si>
  <si>
    <t>Bug fix to code that annotates recent trades file list with summary of trade file contents.</t>
  </si>
  <si>
    <t>Added ad-hoc method SaveTradesForMetasite.</t>
  </si>
  <si>
    <t>No longer call SaveDataFromMarketWorkbookToR, but SaveDataFromMarketWorkbookToJSON instead.</t>
  </si>
  <si>
    <t>Changes to accommodate sending market data to R via json file - can no longer grab data from R's input_... Variables instead we must look into R's model.</t>
  </si>
  <si>
    <t>Released work done at home.</t>
  </si>
  <si>
    <t>Removed internal variable DoTradeLevelCalc</t>
  </si>
  <si>
    <t>PartitionByTrade</t>
  </si>
  <si>
    <r>
      <t xml:space="preserve">When you generate PFEs (using Menu &gt; Calculate PVs, CVA and PFE), results are always shown counterprty by counterparty. When PartitionByTrade is TRUE then results are also available trade by trade, and are available on the TradeViewer sheet. But calculation time is longer in this case. </t>
    </r>
    <r>
      <rPr>
        <sz val="11"/>
        <color rgb="FFFF0000"/>
        <rFont val="Calibri"/>
        <family val="2"/>
      </rPr>
      <t>Recommended: FALSE.</t>
    </r>
  </si>
  <si>
    <t>Started work on saving "ControlData" to a json file</t>
  </si>
  <si>
    <t>Saving control data via json seems to be working. Started work to save trade data as csv. Needs work on the R side however…</t>
  </si>
  <si>
    <t>Released work done at home on 9 Feb. Communicating trade data to R via flat file seems to be working now.</t>
  </si>
  <si>
    <t>Changes in method RunRCode</t>
  </si>
  <si>
    <t>ControlFile now has element BuildCurvesFromRates.</t>
  </si>
  <si>
    <t>Reverted to 542 since workbook got corrupted.</t>
  </si>
  <si>
    <t>Now save SelfPartyName and WhatIfPartyName to the ControlFile.</t>
  </si>
  <si>
    <t>Pass gWHATIF to functions in SCRiPTInterface.R</t>
  </si>
  <si>
    <t>Changes to Alignment on sheet CVAVaR</t>
  </si>
  <si>
    <t>MZTools to remove declared but unused variables.</t>
  </si>
  <si>
    <t>We now call an R function RunSCRiPT instead of simply sourcing SCRiPTMain.R</t>
  </si>
  <si>
    <t>Tweak to method LocalTemp.</t>
  </si>
  <si>
    <t>Changes to handling of trades that give errors when valued.</t>
  </si>
  <si>
    <t>Bug fix to method ParseLazyDate.</t>
  </si>
  <si>
    <t>Reforms to error handling. For trade PVs, no longer "give up" on encountering first trade that fails to value - plan to do similar for netset pvs and XVAs. Also removed method TradePVsFromR.</t>
  </si>
  <si>
    <t>No longer access SCRiPTControl object in R</t>
  </si>
  <si>
    <t>Change in R code: uniqueident &gt; PartyID</t>
  </si>
  <si>
    <t>Changes to reflect simplification of R code - all results are help in a single list SCRiPTResults</t>
  </si>
  <si>
    <t>OnValuationErrors</t>
  </si>
  <si>
    <t>Continue</t>
  </si>
  <si>
    <t>New Config sheet setting OnValuationErrors, with allowed values "Continue" and "Stop".</t>
  </si>
  <si>
    <t>Added global constant gDoValidation, which can be used to switch off much of the Excel and VBA-level validation of trade data and thus allows better testing of the R code's handling of bad data - necessary as we plan to use the R code with a different front-end.</t>
  </si>
  <si>
    <t>PartyID &gt; PartyName</t>
  </si>
  <si>
    <t>Tweaks to menu for solving.</t>
  </si>
  <si>
    <t>Work on displaying results when OnValuationErrors = 'Continue' and there were indeed errors.</t>
  </si>
  <si>
    <t>Improved explanations on Config sheet.</t>
  </si>
  <si>
    <r>
      <t xml:space="preserve">When calculation of a result (CVA, or PFE) for a trade or counterparty fails, perhaps because of bad trade data or missing market data, then if:
</t>
    </r>
    <r>
      <rPr>
        <sz val="11"/>
        <color rgb="FF0000FF"/>
        <rFont val="Calibri"/>
        <family val="2"/>
        <scheme val="minor"/>
      </rPr>
      <t>Stop:</t>
    </r>
    <r>
      <rPr>
        <sz val="11"/>
        <color theme="1"/>
        <rFont val="Calibri"/>
        <family val="2"/>
        <scheme val="minor"/>
      </rPr>
      <t xml:space="preserve"> An error is displayed and no results are shown.
</t>
    </r>
    <r>
      <rPr>
        <sz val="11"/>
        <color rgb="FF0000FF"/>
        <rFont val="Calibri"/>
        <family val="2"/>
        <scheme val="minor"/>
      </rPr>
      <t>Continue:</t>
    </r>
    <r>
      <rPr>
        <sz val="11"/>
        <color theme="1"/>
        <rFont val="Calibri"/>
        <family val="2"/>
        <scheme val="minor"/>
      </rPr>
      <t xml:space="preserve"> Results for remaining trades and counterparties are calculated and displayed.
</t>
    </r>
    <r>
      <rPr>
        <sz val="11"/>
        <color rgb="FFFF0000"/>
        <rFont val="Calibri"/>
        <family val="2"/>
        <scheme val="minor"/>
      </rPr>
      <t>Recommended: Continue</t>
    </r>
  </si>
  <si>
    <t>Changes to work with refactored R code.</t>
  </si>
  <si>
    <t>Bug fixes to problems caused by R refactoring.</t>
  </si>
  <si>
    <t>Bug fix to method ChooseBanks. Bug could result in mal-formed data being saved to SCRiPTControl.json.</t>
  </si>
  <si>
    <t>Removed Boolean flag BuildCurvesOnly - it was logically redundant.</t>
  </si>
  <si>
    <t>Tweak to menu item Save Trades</t>
  </si>
  <si>
    <t>Added menu item 'Show Input and Output files'.</t>
  </si>
  <si>
    <t>When adding a new trade of type FxForward, suggested trade will now have zero PV.</t>
  </si>
  <si>
    <t>Bug fix to method ViewTradeCashflows, broken since we removed the R function EnhanceTradeData.</t>
  </si>
  <si>
    <t>Further changes to remove calls to EnhanceTradeData.</t>
  </si>
  <si>
    <t>We now save two market files: SCRiPTMarketRates.json and SCRiPTMarketDiscountFactors.json.</t>
  </si>
  <si>
    <t>Fix to type mismatch that is caused by changes to the berhaviour of BERT when "singletons" are returned.</t>
  </si>
  <si>
    <t>Small change on Hidden sheet - fixes small problem with viewing trade cashflows.</t>
  </si>
  <si>
    <t>Fix to OpenBackups. Was showing no backup as a consequence of non-backwards change to sDirList's treatment of FileFilter argument.</t>
  </si>
  <si>
    <t>Fix to MyFxPerBaseCcy. Was broken because of changed behaviour of BERT which now returns an extra column when an R matrix has non-NULL dimnames</t>
  </si>
  <si>
    <t>Removed Stop statements in a couple of error handlers.</t>
  </si>
  <si>
    <t>Fixed compile errors caused by recent changes in SolumAddin.</t>
  </si>
  <si>
    <t>Fix bug in FixedCashflowsDoubleClickHandler - bug manifested when TransitionNavigationKeys was FALSE.</t>
  </si>
  <si>
    <t>Fixed type mismatch in ShowMenu that could happen if the range TradesFileName on the Portfolio sheet was empty. Not sure how that gets to be empty though.</t>
  </si>
  <si>
    <t>Work in progress on cached model.</t>
  </si>
  <si>
    <t>Ready for delivery to MetaSite.</t>
  </si>
  <si>
    <t>Bug fix to handling of sheet protection in method UpdateCounterpartyViewerSheet</t>
  </si>
  <si>
    <t>Changes to menu.</t>
  </si>
  <si>
    <t>ControlFile can now contain instruction "LogFile".</t>
  </si>
  <si>
    <t>More ControlFile changes.</t>
  </si>
  <si>
    <t>Changes for Metasite.</t>
  </si>
  <si>
    <t>Added menu item to view log files in NotePad++</t>
  </si>
  <si>
    <t>Added menu item to "Build Hull-White Model from discount factors" to test R code as MetaSite would call it.</t>
  </si>
  <si>
    <t>throw &gt; Throw</t>
  </si>
  <si>
    <t>Improved error handling in RangeFromMarketDataBook. Tweak to SetValidationForNotional.</t>
  </si>
  <si>
    <t>Method ShowInputAndOutputFiles no longer shows Model file since it's binary.</t>
  </si>
  <si>
    <t>Fixes to GetCalibratedVols and GetCalibratedFxVols.</t>
  </si>
  <si>
    <t>Config sheet now has RSourcePath.</t>
  </si>
  <si>
    <t>Tweak in class module of Config sheet.</t>
  </si>
  <si>
    <t>Improved ReleaseCleanup.</t>
  </si>
  <si>
    <t>When Logging is one we save a time-stamped copy of the Results file for use in Regression testing.</t>
  </si>
  <si>
    <t>Work on saving Snapshots for better regression testing.</t>
  </si>
  <si>
    <t>Fewer errors when trying to run on a PC without the necessary R packages.</t>
  </si>
  <si>
    <t>Code indenting (previous edits on PC without MZTools).</t>
  </si>
  <si>
    <t>Formatting on Config sheet.</t>
  </si>
  <si>
    <t>Improved Snapshot Name dialog.</t>
  </si>
  <si>
    <t>New module modCheckCalibration and new menu item "Calibration Report"</t>
  </si>
  <si>
    <t>Menu changes.</t>
  </si>
  <si>
    <t>Work on Calibration Report.</t>
  </si>
  <si>
    <t>Tweak to method GetTradesSummaryFromFile.</t>
  </si>
  <si>
    <t>Calibration Report now more prominent in menu.</t>
  </si>
  <si>
    <t>Changed error handling in method GetCurrenciesFromR.</t>
  </si>
  <si>
    <t>Changed calls to GetCopiedRange.</t>
  </si>
  <si>
    <t>Test release.</t>
  </si>
  <si>
    <t>FCA</t>
  </si>
  <si>
    <t>FBA</t>
  </si>
  <si>
    <t xml:space="preserve">The model calculates and propagates trade PVs denominated in this currency. </t>
  </si>
  <si>
    <t>DeveloperMode</t>
  </si>
  <si>
    <r>
      <t xml:space="preserve">If TRUE then additional calculations are performed and their results displayed to assist in debugging.
</t>
    </r>
    <r>
      <rPr>
        <sz val="11"/>
        <color rgb="FFFF0000"/>
        <rFont val="Calibri"/>
        <family val="2"/>
      </rPr>
      <t>Recommended: FALSE</t>
    </r>
  </si>
  <si>
    <t>Nb Trades</t>
  </si>
  <si>
    <t>First version with FVA replaced by FCA and FBA. Further work needed to calculate in the same manner as we calculate CVA (for speed)</t>
  </si>
  <si>
    <t>Tweak to method ShowMenu running in "AddOneTrade" mode.</t>
  </si>
  <si>
    <t>Correction to previous release.</t>
  </si>
  <si>
    <t>Read-only parameters. Edit on the Config sheet of the Market Data Workbook.</t>
  </si>
  <si>
    <t>Fixed bug if all trades for a counterparty have matured.</t>
  </si>
  <si>
    <t>The name of the entity that "owns" the trades. Appears in the headers of the Portfolio and xVADashboard sheets.</t>
  </si>
  <si>
    <t>Formatting changes on Config sheet.</t>
  </si>
  <si>
    <t>Fixed double-click bug on sheet xVADashboard.</t>
  </si>
  <si>
    <t>Changes to GetDataForDashboard to cope with changes in R code.</t>
  </si>
  <si>
    <t>Now show FCA and FBA on xVADashboard and on CounterpartyViewer sheet.</t>
  </si>
  <si>
    <t>Upped maximum number of trades that can be added in a oner from 1,000 to 10,000.</t>
  </si>
  <si>
    <t>Improved error messages in method ValidateTrades.</t>
  </si>
  <si>
    <t>Changed default Trade ID format from "Trade 001" to "T00001"</t>
  </si>
  <si>
    <t>Amended function ValidateCurrency</t>
  </si>
  <si>
    <t>Re-wrote method ValidateCurrency to longer require editing each time we add a supported currency, but still be fast.</t>
  </si>
  <si>
    <t>Speedup to ValidateInflationIndex.</t>
  </si>
  <si>
    <t>Added method CloseTrades, but still work in progress.</t>
  </si>
  <si>
    <t>CloseTrades now available from menu.</t>
  </si>
  <si>
    <t>Changes in method CloseTrades.</t>
  </si>
  <si>
    <t>Improved method CleanUpBackUps. Was never deleting backups. Now delete older bbackups that duplicate younger backups and also allow no more than 40 backups.</t>
  </si>
  <si>
    <t>Tweaks to method CheckSumFromTradesFile.</t>
  </si>
  <si>
    <t>Function TradeFileInfo replaces old functions CheckSumFromTradesFile and GetTradesSummaryFromFile.</t>
  </si>
  <si>
    <t>Tweak to GetTradesSummary.</t>
  </si>
  <si>
    <t>Sheets TradeViewer and CounterpartyViewer now show survival probabilities.</t>
  </si>
  <si>
    <t>Force2DArray bug fix to method CleanUpBackUps.</t>
  </si>
  <si>
    <t>Ran AmendVBA.</t>
  </si>
  <si>
    <t>Ran AmendVBA again - this time sorting of Dim statements is case-insensitive.</t>
  </si>
  <si>
    <t>Ran AmendVBA again - this time processing the class modules of the sheets.</t>
  </si>
  <si>
    <t>Bug fix to method ValidateInflationIndex</t>
  </si>
  <si>
    <t>Tweak to method UpdateTradeTemplates.</t>
  </si>
  <si>
    <t>Bug fix to method ValidateFxStrip.</t>
  </si>
  <si>
    <t>UseCachedModel</t>
  </si>
  <si>
    <r>
      <t xml:space="preserve">If </t>
    </r>
    <r>
      <rPr>
        <sz val="11"/>
        <color rgb="FF0000FF"/>
        <rFont val="Calibri"/>
        <family val="2"/>
      </rPr>
      <t>TRUE</t>
    </r>
    <r>
      <rPr>
        <sz val="11"/>
        <color theme="1"/>
        <rFont val="Calibri"/>
        <family val="2"/>
        <scheme val="minor"/>
      </rPr>
      <t xml:space="preserve"> then the Hull White model will be recalibrated
a) on user demand via Menu --&gt; Rebuild Hull-White Model; and
b) when additional curves (either credit curves or rates curves) are required versus the previously executed ("cached") calculation.
but NOT when rates (displayed in the market data workbook) have changed. It's up to the user to rebuild the model in those circumstances.
If </t>
    </r>
    <r>
      <rPr>
        <sz val="11"/>
        <color rgb="FF0000FF"/>
        <rFont val="Calibri"/>
        <family val="2"/>
        <scheme val="minor"/>
      </rPr>
      <t>FALSE</t>
    </r>
    <r>
      <rPr>
        <sz val="11"/>
        <color theme="1"/>
        <rFont val="Calibri"/>
        <family val="2"/>
        <scheme val="minor"/>
      </rPr>
      <t xml:space="preserve"> then the Hull White model will be recalibrated prior to every calculation. This takes time but ensures rates used are the same as those currently displayed in the market data workbook.
</t>
    </r>
    <r>
      <rPr>
        <sz val="11"/>
        <color rgb="FFFF0000"/>
        <rFont val="Calibri"/>
        <family val="2"/>
        <scheme val="minor"/>
      </rPr>
      <t>Recommended TRUE</t>
    </r>
  </si>
  <si>
    <t>Config sheet now has setting UseCachedModel - useful for project to port the R code to Julia (which is so much faster than R that model caching is not necessary).</t>
  </si>
  <si>
    <t>Re-release.</t>
  </si>
  <si>
    <t>Changes to method ValidateTrades to better handle InflationYoYSwap.</t>
  </si>
  <si>
    <t>Fix to CalculateRequiredMarketData. Code was making assumption about trade data that is violated by InflationYoYSwap.</t>
  </si>
  <si>
    <t>Changed error handling in method UpdatePortfolioSheet.</t>
  </si>
  <si>
    <t>Fixed compile error caused by recent changes in SolumAddin.</t>
  </si>
  <si>
    <t>xVA Dashboard</t>
  </si>
  <si>
    <t>Fixed size of menu button on Portfolio sheet.</t>
  </si>
  <si>
    <t>File locations in SCRiPTControl.json can be given with addresses relative to the location of SCRiPTControl.json. Makes it easier to set up regression tests etc.</t>
  </si>
  <si>
    <t>Change to method ValidateFxStrip. Old code was insisting that signs of Notional1 and Notional2 had to be different, but in fact they have to be the same. Rather perplexing...</t>
  </si>
  <si>
    <t>Corrected call to SaveDataFromMarketWorkbookToFile, which had been broken by release 659.</t>
  </si>
  <si>
    <t>Fixed more bugs in method RunRCode that were introduced by release 659.</t>
  </si>
  <si>
    <t>Changes so that we can call R code via Rscript.exe rather than via BERT. This makes call into R more similar to how R code is called under Linux by Xplain. Next step will be to allow calling of the Julia code…</t>
  </si>
  <si>
    <t>New use new VBA method ConfigRange to access data from the Config sheet of this workbook.</t>
  </si>
  <si>
    <t>Status bar changes.</t>
  </si>
  <si>
    <t>Can now use Rscript.exe (preparation for Julia executable). xVADashboard updating works, mostly, but not in PVOnly mode and not for KVAs…</t>
  </si>
  <si>
    <t>Method RunRCode (will soon be a misnomer) now updates PVs shown on Portfolio sheet when calling into executable, not yet working for inflation trades.</t>
  </si>
  <si>
    <t>First cut of method SCRiPT_ResultsVBA, a port from R of method SCRiPT_Results. Gets data from the Dictionary gSCRiPTResults rather than from the R list SCRiPTResults. Needs more testing and "plumbing in".</t>
  </si>
  <si>
    <t>CounterpartyViewer sheet now mostly works with executable - no trade data though…</t>
  </si>
  <si>
    <t>CounterpartyViewer sheet now shows trade data when AnalyticProvider is not BERT. Working on TradeViewer sheet.</t>
  </si>
  <si>
    <t>TradeViewer sheet now works when AnalyticProvider is not BERT, but does not display cashflows in non-BERT mode.</t>
  </si>
  <si>
    <t>Work to reduce number of calles into BERT - aim for zero when not using BERT as AnalyticsProvider…</t>
  </si>
  <si>
    <t>New setting on Config sheet: DoLogging.</t>
  </si>
  <si>
    <t>Can now hook through to Julia executable.</t>
  </si>
  <si>
    <t>ToDo</t>
  </si>
  <si>
    <t>Simplification to the code that gets results from the "Analytics Provider" (AP). Interrogating the Dictionary gSCRiPTResults works whatever the Analytics Provider, so increasingly do that - but more work to do…</t>
  </si>
  <si>
    <t>Rewrote method ApplySolumFormatting for better speed - was annoyingly slow when displaying Paths on CounterpartyViewer sheet.</t>
  </si>
  <si>
    <t>Fix to double-click handler on TradeViewer - was not working for AP = Julia.</t>
  </si>
  <si>
    <t>Can now calculate PFE without calculating KVA. KVA only "works" when AP is BERT and in any event KVA calculations are surely out of date?</t>
  </si>
  <si>
    <t>Changed location of files (executables etc) held on the Config sheet.</t>
  </si>
  <si>
    <t>Control file now contains key AllowScalarsInResults</t>
  </si>
  <si>
    <t>Bug fix to SCRiPT_ResultsFromDictionary. Was not correctly handling case when the number of WHATIF trades is zero (in which case WHATIF results are absent to save memory).</t>
  </si>
  <si>
    <t>Change to method SaveControlFile so that files written are compatible with both Julia code and R code, rather than being targeted at one or the other.</t>
  </si>
  <si>
    <t>Added another analytics provider - the Linux executable…</t>
  </si>
  <si>
    <t>Fork this workbook from SCRiPT.xlsm to XVAFrontEnd.xlsm. Want to use it as a "front end" for the Julia code, and keeping it compatible with the R code would be difficult and a waste of time.</t>
  </si>
  <si>
    <t>Changes on the Config sheet.</t>
  </si>
  <si>
    <t>Removed sheets Capital, CVAVar and SACCRTesting.</t>
  </si>
  <si>
    <t>Can now call Julia in a running instance, to avoid compilation overhead. It's a shameful bodge via sendkeys, but sort of works…</t>
  </si>
  <si>
    <t>Changes to handle OIS Swaps - Nov 2020, and in workbook XVAFrontEnd that "talks to" the Julia code rather than the R code.</t>
  </si>
  <si>
    <t>Trades on the Portfolio sheet, change headers 'Is Fixed? 1' and 'Is Fixed? 2' to 'Leg Type 1' and 'Leg Type 2'</t>
  </si>
  <si>
    <t>1)</t>
  </si>
  <si>
    <t xml:space="preserve">2) </t>
  </si>
  <si>
    <t>2)</t>
  </si>
  <si>
    <t>For IRS and CCS allowed values are then Fixed/Libor/OIS</t>
  </si>
  <si>
    <t>In the Julia representation, for InterestRateSwap and field FloatingIndex</t>
  </si>
  <si>
    <t>In the Julia representation, for InterestRateSwap add field FloatingIndex with allowed values Fixed/Libor/OIS</t>
  </si>
  <si>
    <t>In the Julia representation, for CrossCurrencySwap replace fields ReceiveIsFixed and PayIsFixed by fields ReceiveIndex and PayIndex with allowed values Fixed/Libor/OIS</t>
  </si>
  <si>
    <t>Switch to Julia code to so that OIS forward rates are read from funding discount factors</t>
  </si>
  <si>
    <t>Make backward compatible. i.e. if trade data does not contain new fields then "morph"? - have a single function to morph after reading from file?</t>
  </si>
  <si>
    <t>change method PortfolioTradesToRTrades</t>
  </si>
  <si>
    <t>Added a plan to hidden sheet 'Notes' for work to support OIS.</t>
  </si>
  <si>
    <t>Added sheet to show state of IRS and CCS when saved to R.</t>
  </si>
  <si>
    <t xml:space="preserve">No longer clear portfolio sheet when releasing </t>
  </si>
  <si>
    <t>Leg Type 1</t>
  </si>
  <si>
    <t>Leg Type 2</t>
  </si>
  <si>
    <t>Libor</t>
  </si>
  <si>
    <t>Changes for OIS: Changed double-click handler and method FormatTradesRange.</t>
  </si>
  <si>
    <t>Changes for OIS: Changed double-click handler.</t>
  </si>
  <si>
    <t>Method name changes.</t>
  </si>
  <si>
    <t>Changes on HiddenSheet.</t>
  </si>
  <si>
    <t>Method ValidateTrades now works again.</t>
  </si>
  <si>
    <t>Method PortfolioTradesToJuliaTrades now works again.</t>
  </si>
  <si>
    <t>Now write control file etc to c:\Temp\XVA rather than c:\Temp\SCRiPT.</t>
  </si>
  <si>
    <t>Removed "AutoCalc" functionality. Too hard to implement given that the clunkiness of the current way of communicating between Julia and Excel?</t>
  </si>
  <si>
    <t>Bug fixes to method PortfolioTradesToJuliaTrades.</t>
  </si>
  <si>
    <t>ControlFile no longer contains key InterpolateCovariance.</t>
  </si>
  <si>
    <t>Tweaks to shameful bodge method for calling Julia.</t>
  </si>
  <si>
    <t>Simplified Workbook_Open</t>
  </si>
  <si>
    <t>Removed KVA item from main menu.</t>
  </si>
  <si>
    <t>Removed module modCalibrationReport and menu items that relate.</t>
  </si>
  <si>
    <t>&lt;Doubleclick to add trade&gt;</t>
  </si>
  <si>
    <t>Ran MZTools --&gt; Clean Project. Hopefully fix multiple crashes I'm seeing while editing the VBA.</t>
  </si>
  <si>
    <t>Removed method GenerateReports and associated menu item.</t>
  </si>
  <si>
    <t>Bug fix to previous release.</t>
  </si>
  <si>
    <t>Drop use of Lines workbook, we no longer do capital calculations.</t>
  </si>
  <si>
    <t>Removed module modRegression and hidden sheet Regression.</t>
  </si>
  <si>
    <t>Method ModelExists no longer calls R.</t>
  </si>
  <si>
    <t>We are not calling function AmendDashboardForErrors and I thnk we should be.</t>
  </si>
  <si>
    <t>No longer use separate Lines book. Not necessary as we have dropped calculation of capital.</t>
  </si>
  <si>
    <t>Have now eliminated all code that calls R.</t>
  </si>
  <si>
    <t>Added necessary morphing code so that can open trade files saved by SCRiPT.xlsm.</t>
  </si>
  <si>
    <t>Bugfix to CounterpartiesOnPortfolioSheet</t>
  </si>
  <si>
    <t>Reduced use of word "SCRiPT" in variable names etc.</t>
  </si>
  <si>
    <t>Had to partially reverse changes for release 711. Turns out we still need the lines workbook…</t>
  </si>
  <si>
    <t>WIP: JuliaTradeesToPortfolioTrades.</t>
  </si>
  <si>
    <t>JuliaTradeToPortfolioTrades and PortfolioTradesToJuliaTradees now seem to round-trip nicely. Also improvements to method CallJuliaViaSendKeys.</t>
  </si>
  <si>
    <t>Mostly comments changed from mentioning R to mentioning Julia.</t>
  </si>
  <si>
    <t>Added to ToDo list of this sheet.</t>
  </si>
  <si>
    <t>Control data no longer includes item IsShortfall.</t>
  </si>
  <si>
    <t>Fix to error handling in AP_Results.</t>
  </si>
  <si>
    <t>Methods PortfolioTradesToJuliaTrades, JuliaTradesToPortfolioTrades, FormatTradesRange, ValidateTrades all now use the same global constants for column positions.</t>
  </si>
  <si>
    <t>Filter LegType1</t>
  </si>
  <si>
    <t>Filter LegType2</t>
  </si>
  <si>
    <t>Removed function ColumnNumber - now use global constants. Tweaks on sheet HiddenSheet.</t>
  </si>
  <si>
    <r>
      <t>Number of integration points for CVA calculation (2</t>
    </r>
    <r>
      <rPr>
        <vertAlign val="superscript"/>
        <sz val="11"/>
        <color theme="1"/>
        <rFont val="Calibri"/>
        <family val="2"/>
        <scheme val="minor"/>
      </rPr>
      <t>n</t>
    </r>
    <r>
      <rPr>
        <sz val="11"/>
        <color theme="1"/>
        <rFont val="Calibri"/>
        <family val="2"/>
        <scheme val="minor"/>
      </rPr>
      <t xml:space="preserve"> - 1). </t>
    </r>
    <r>
      <rPr>
        <sz val="11"/>
        <color rgb="FFFF0000"/>
        <rFont val="Calibri"/>
        <family val="2"/>
      </rPr>
      <t>Recommended: 2,047 or higher</t>
    </r>
  </si>
  <si>
    <r>
      <t>Number of integration points for PFE  calculation (2</t>
    </r>
    <r>
      <rPr>
        <vertAlign val="superscript"/>
        <sz val="11"/>
        <color theme="1"/>
        <rFont val="Calibri"/>
        <family val="2"/>
        <scheme val="minor"/>
      </rPr>
      <t>n</t>
    </r>
    <r>
      <rPr>
        <sz val="11"/>
        <color theme="1"/>
        <rFont val="Calibri"/>
        <family val="2"/>
        <scheme val="minor"/>
      </rPr>
      <t xml:space="preserve"> - 1).</t>
    </r>
    <r>
      <rPr>
        <sz val="11"/>
        <color rgb="FFFF0000"/>
        <rFont val="Calibri"/>
        <family val="2"/>
      </rPr>
      <t xml:space="preserve"> Recommended: 255 or higher</t>
    </r>
  </si>
  <si>
    <r>
      <rPr>
        <sz val="11"/>
        <color rgb="FF0000FF"/>
        <rFont val="Calibri"/>
        <family val="2"/>
      </rPr>
      <t>TRUE</t>
    </r>
    <r>
      <rPr>
        <sz val="11"/>
        <color theme="1"/>
        <rFont val="Calibri"/>
        <family val="2"/>
        <scheme val="minor"/>
      </rPr>
      <t xml:space="preserve"> = When you open this workbook, trades will be loaded back to the Portfolio sheet as they were the last time you used the workbook.
</t>
    </r>
    <r>
      <rPr>
        <sz val="11"/>
        <color rgb="FF0000FF"/>
        <rFont val="Calibri"/>
        <family val="2"/>
        <scheme val="minor"/>
      </rPr>
      <t>FALSE</t>
    </r>
    <r>
      <rPr>
        <sz val="11"/>
        <color theme="1"/>
        <rFont val="Calibri"/>
        <family val="2"/>
        <scheme val="minor"/>
      </rPr>
      <t xml:space="preserve"> = When you open the workbook the Portfolio sheet will have no trades on it.</t>
    </r>
  </si>
  <si>
    <t>Removed settings SaveSnapshot and NameSnapshot on Config sheet.</t>
  </si>
  <si>
    <r>
      <t xml:space="preserve">Bug fix to OpenTradesFile. Morphing was incorrectly coded causing an error when trades did </t>
    </r>
    <r>
      <rPr>
        <i/>
        <sz val="11"/>
        <rFont val="Calibri"/>
        <family val="2"/>
      </rPr>
      <t>not</t>
    </r>
    <r>
      <rPr>
        <sz val="11"/>
        <rFont val="Calibri"/>
        <family val="2"/>
      </rPr>
      <t xml:space="preserve"> need to be morphed.</t>
    </r>
  </si>
  <si>
    <t>Implement trade solving, would not be too hard I think.</t>
  </si>
  <si>
    <t>Updated ToDo list of this sheet.</t>
  </si>
  <si>
    <t>Much improved handling of errors in the Julia code.</t>
  </si>
  <si>
    <t>ControlFile no longer has 'UseSobol' key.</t>
  </si>
  <si>
    <t>BuildModelFromDFsAndSurvProbs</t>
  </si>
  <si>
    <r>
      <t xml:space="preserve">If </t>
    </r>
    <r>
      <rPr>
        <sz val="11"/>
        <color rgb="FF0000FF"/>
        <rFont val="Calibri"/>
        <family val="2"/>
      </rPr>
      <t>TRUE</t>
    </r>
    <r>
      <rPr>
        <sz val="11"/>
        <color theme="1"/>
        <rFont val="Calibri"/>
        <family val="2"/>
        <scheme val="minor"/>
      </rPr>
      <t>, the market data file used by the XVA code contains discount factors and survival probabilities rather than swap rates and credit spreads. This emulates how the XVA code will be called from the Xplain front end.
Recommended: FALSE</t>
    </r>
  </si>
  <si>
    <t>Order of columns in files saved for Julia is more sensible.</t>
  </si>
  <si>
    <t>Can now generate market data files containg discount factors and survival probabilities, rather than swap rates and credit spreads (via Julia code that converts the former to the latter).</t>
  </si>
  <si>
    <t>New module modGenerateTestTrades</t>
  </si>
  <si>
    <t>Tweak to method CreateTestSet.</t>
  </si>
  <si>
    <t>Can now open trades in the file format that they are sent to Julia and convert to the format for the Portfolio sheet.</t>
  </si>
  <si>
    <t>Fixes to method CreateTestSet.</t>
  </si>
  <si>
    <t>There were still parts of the code attempting to support calypso trade format. Got rid of.</t>
  </si>
  <si>
    <t>Change to formula on Config sheet.</t>
  </si>
  <si>
    <t>Can now use AnalyticsProvider = ''Julia scripted in running instance (Linux)'.</t>
  </si>
  <si>
    <t>Changed location of WindowsExe and LinuxExe</t>
  </si>
  <si>
    <t>Updated some module names.</t>
  </si>
  <si>
    <t>readme.txt --&gt; Readme.md. Works better on GitHub.</t>
  </si>
  <si>
    <t>Create test set now available from the menu.</t>
  </si>
  <si>
    <t>UseThreads</t>
  </si>
  <si>
    <r>
      <t xml:space="preserve">If </t>
    </r>
    <r>
      <rPr>
        <sz val="11"/>
        <color rgb="FF0000FF"/>
        <rFont val="Calibri"/>
        <family val="2"/>
      </rPr>
      <t>TRUE</t>
    </r>
    <r>
      <rPr>
        <sz val="11"/>
        <color theme="1"/>
        <rFont val="Calibri"/>
        <family val="2"/>
        <scheme val="minor"/>
      </rPr>
      <t xml:space="preserve">, the Julia code will be run in "multi-threaded mode".
</t>
    </r>
    <r>
      <rPr>
        <sz val="11"/>
        <color rgb="FFFF0000"/>
        <rFont val="Calibri"/>
        <family val="2"/>
        <scheme val="minor"/>
      </rPr>
      <t>Recommended: TRUE</t>
    </r>
  </si>
  <si>
    <t>Config sheet now allows control of whether Threads are used. Trying to chase down causes of non thread-safety...</t>
  </si>
  <si>
    <t>Bug fix to method ChooseBanks. Mystery is that code as was should not have compiled.</t>
  </si>
  <si>
    <t>Bug fix necessary because sCSVRead does not replicate (bad) behaviour of sFileShow when reading csv file with field that is a date-like string surrounded by quote characters.</t>
  </si>
  <si>
    <t>Changed release cleanup to default AnalyticsProvider to "Julia scripted in running instance (Windows)".</t>
  </si>
  <si>
    <t>Started on changes to use JuliaExcel.</t>
  </si>
  <si>
    <t>Fix to method GetFromRegistry.</t>
  </si>
  <si>
    <t>Not sure if there are outstanding changes, release just in case.</t>
  </si>
  <si>
    <t>Simplification: Now have only one way of calling Julia, via the JuliaExcel addin.</t>
  </si>
  <si>
    <t>Bug fix to method CallViaJuliaExcel.</t>
  </si>
  <si>
    <t>Attempted to run against compiled Julia code. Ran into problem with packages (LoopVectorization) not having all their dependencies present. Decided not to try to resolve for the time being, and reverted changes made to the VBA code.</t>
  </si>
  <si>
    <t>Formatting only</t>
  </si>
  <si>
    <t>Now getting data back from Julia via JuliaEvalVBA's ability to serialise Julia dictionaries rather than by parsing a json file. My tests showed that this unserialisation is approx 5 times faster than the code I use for unserialising a json file.  But currently have two global variables. gResults contains the unserialisation of the json file and gResults2 contains the unserialisation via JuliaEvalVBA. Contents are not identical since the latter contains arrays where the former contains collections. So need to re-write the accessor functions. Have so far re-written method DataForPortfolioSheetVBA.</t>
  </si>
  <si>
    <t>Reduced use of global variable gResults by using its replacement gResults2.</t>
  </si>
  <si>
    <t>Corrected assignments of macros to buttons.</t>
  </si>
  <si>
    <t>Improved some variable names.</t>
  </si>
  <si>
    <t>Formatting change on Config sheet.</t>
  </si>
  <si>
    <r>
      <t xml:space="preserve">If </t>
    </r>
    <r>
      <rPr>
        <sz val="11"/>
        <color rgb="FF0000FF"/>
        <rFont val="Calibri"/>
        <family val="2"/>
      </rPr>
      <t>TRUE</t>
    </r>
    <r>
      <rPr>
        <sz val="11"/>
        <color theme="1"/>
        <rFont val="Calibri"/>
        <family val="2"/>
        <scheme val="minor"/>
      </rPr>
      <t xml:space="preserve"> then for each Counterparty (and each trade when PartitionByTrade is TRUE) the Julia code saves all paths for the PV of the netting set / trade. There will be NumSims paths, and each path contains N values, where N is TStar/TimeGap, with TStar, the "time horizon" for the model, being displayed on the Config sheet of the Market Data Workbook. The paths can be seen on the TradeViewer and CounterpartyViewer sheets.</t>
    </r>
  </si>
  <si>
    <t>Method ConstructDashboardVBA now reads gResults2.</t>
  </si>
  <si>
    <t>Updated ToDo list</t>
  </si>
  <si>
    <t>T000029</t>
  </si>
  <si>
    <t>Re-wrote method AP_Results, old version not yet deleted.</t>
  </si>
  <si>
    <t>AP_Results renamed to GetResultsFromJulia.</t>
  </si>
  <si>
    <t>Ran AmendVBA code to clean up declarations.</t>
  </si>
  <si>
    <t>Updated ToDo list.</t>
  </si>
  <si>
    <t>In PVOnly mode Julia code does not count trades per counterparty? - PartyResults,NumTrades not populated.</t>
  </si>
  <si>
    <t>xVADashboard now updated when running in PVOnly mode, though column for number of trades not populated thanks to deficiency in Julia code.</t>
  </si>
  <si>
    <t>Started work on creating system image file, but work interrupted by the fact that xva_main segfaults. :(</t>
  </si>
  <si>
    <t>Now use Julia running on WSL. System image creation works - need to hook it through to the menus.</t>
  </si>
  <si>
    <t>System image creation works, but only if a compiler is already installed.</t>
  </si>
  <si>
    <t>Added menu items "Create System Image" and "Launch Julia without System Image. Both under "Develop Tools".</t>
  </si>
  <si>
    <t>Changes for changes arg list to JuliaLaunch.</t>
  </si>
  <si>
    <t>work interrupted by the fact that Julia is segfaulting (occasionally) when running xva_main - only happens on Windows?</t>
  </si>
  <si>
    <t>Added to ToDo list.</t>
  </si>
  <si>
    <t>Added FaceID to menu.</t>
  </si>
  <si>
    <t>Fixed bug that was causing the model to be rebuild more frequently than necessary.</t>
  </si>
  <si>
    <t>UseLinux</t>
  </si>
  <si>
    <t>If TRUE then the Julia code is run under Linux in WSL, otherwise the Julia code is run under Windows.</t>
  </si>
  <si>
    <t>Replaced global constant gUseLinux with a setting on the Config sheet.</t>
  </si>
  <si>
    <t>All 1 trade shown.</t>
  </si>
  <si>
    <t>Changes to method CreateSystemImage.</t>
  </si>
  <si>
    <t>More changes in method CreateSystemImage.</t>
  </si>
  <si>
    <t>Moved a few methods to SolumSCRiPTUtils so that they can be used from Cayley.</t>
  </si>
  <si>
    <t>Fixed type mismatch error that could occur when only one trade on the Portfolio sheet.</t>
  </si>
  <si>
    <t>Stubbed-out calls to JuliaCreateSystemImage. Released as SCRiPT2022.xlsm</t>
  </si>
  <si>
    <t>Airbus</t>
  </si>
  <si>
    <t>CayleyMarketData.xlsm</t>
  </si>
  <si>
    <t>CayleyLines.xlsm</t>
  </si>
  <si>
    <t>Like Cayley, the files on the Config sheet are now given relative to the location of this workbook.</t>
  </si>
  <si>
    <t>ANZB_AU_MEL</t>
  </si>
  <si>
    <t>Moved a copy of JuliaCreateSystemImage to this workbook.</t>
  </si>
  <si>
    <t>Tweak to filtering on Portfolio sheet.</t>
  </si>
  <si>
    <t>When closing workbook and if Cayley2022.xlsm is not open then Julia is shut down.</t>
  </si>
  <si>
    <t>SCRiPT2022 Audit sheet</t>
  </si>
  <si>
    <t>Tweaks to Workbook_BeforeClose.</t>
  </si>
  <si>
    <t>Banks Exposure to Corporate</t>
  </si>
  <si>
    <t>Libor Transition: Libor -&gt; IBOR, OIS -&gt; RFR. But need changes on Julia side of the fence also.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</si>
</sst>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dd\-mmm\-yyyy"/>
    <numFmt numFmtId="166" formatCode="[&gt;=100]#,##0.00;[&gt;=10]#,##0.000;#,##0.0000"/>
    <numFmt numFmtId="167" formatCode="0.000%;[Red]\-0.000%"/>
    <numFmt numFmtId="168" formatCode="#,##0;[Red]\-#,##0"/>
    <numFmt numFmtId="169" formatCode="hh:mm"/>
  </numFmts>
  <fonts count="3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rgb="FF0066CC"/>
      <name val="Calibri"/>
      <family val="2"/>
      <scheme val="minor"/>
    </font>
    <font>
      <b/>
      <i/>
      <sz val="18"/>
      <color rgb="FF0066CC"/>
      <name val="Calibri"/>
      <family val="2"/>
      <scheme val="minor"/>
    </font>
    <font>
      <sz val="22"/>
      <color theme="1"/>
      <name val="Calibri"/>
      <family val="2"/>
      <scheme val="minor"/>
    </font>
    <font>
      <sz val="11"/>
      <color rgb="FF0000FF"/>
      <name val="Calibri"/>
      <family val="2"/>
      <scheme val="minor"/>
    </font>
    <font>
      <i/>
      <sz val="11"/>
      <color theme="0" tint="-0.34998626667073579"/>
      <name val="Calibri"/>
      <family val="2"/>
      <scheme val="minor"/>
    </font>
    <font>
      <sz val="11"/>
      <name val="Calibri"/>
      <family val="2"/>
      <scheme val="minor"/>
    </font>
    <font>
      <b/>
      <sz val="11"/>
      <color theme="1"/>
      <name val="Calibri"/>
      <family val="2"/>
    </font>
    <font>
      <b/>
      <sz val="11"/>
      <color rgb="FFFFFFFF"/>
      <name val="Calibri"/>
      <family val="2"/>
      <scheme val="minor"/>
    </font>
    <font>
      <i/>
      <sz val="11"/>
      <color theme="1"/>
      <name val="Calibri"/>
      <family val="2"/>
      <scheme val="minor"/>
    </font>
    <font>
      <b/>
      <sz val="11"/>
      <color theme="0" tint="-0.34998626667073579"/>
      <name val="Calibri"/>
      <family val="2"/>
      <scheme val="minor"/>
    </font>
    <font>
      <sz val="11"/>
      <color theme="0" tint="-0.34998626667073579"/>
      <name val="Calibri"/>
      <family val="2"/>
      <scheme val="minor"/>
    </font>
    <font>
      <sz val="11"/>
      <color rgb="FFFF0000"/>
      <name val="Calibri"/>
      <family val="2"/>
      <scheme val="minor"/>
    </font>
    <font>
      <sz val="11"/>
      <color indexed="81"/>
      <name val="Calibri"/>
      <family val="2"/>
      <scheme val="minor"/>
    </font>
    <font>
      <sz val="11"/>
      <color rgb="FF808080"/>
      <name val="Calibri"/>
      <family val="2"/>
      <scheme val="minor"/>
    </font>
    <font>
      <sz val="11"/>
      <color rgb="FFBFBFBF"/>
      <name val="Calibri"/>
      <family val="2"/>
      <scheme val="minor"/>
    </font>
    <font>
      <vertAlign val="superscript"/>
      <sz val="11"/>
      <name val="Calibri"/>
      <family val="2"/>
      <scheme val="minor"/>
    </font>
    <font>
      <sz val="11"/>
      <color rgb="FFFF0000"/>
      <name val="Calibri"/>
      <family val="2"/>
    </font>
    <font>
      <sz val="11"/>
      <color rgb="FFD9D9D9"/>
      <name val="Calibri"/>
      <family val="2"/>
      <scheme val="minor"/>
    </font>
    <font>
      <sz val="11"/>
      <color indexed="81"/>
      <name val="Calibri"/>
      <family val="2"/>
    </font>
    <font>
      <sz val="10"/>
      <color rgb="FF969696"/>
      <name val="Wingdings"/>
      <charset val="2"/>
    </font>
    <font>
      <sz val="11"/>
      <color rgb="FF000000"/>
      <name val="Calibri"/>
      <family val="2"/>
    </font>
    <font>
      <sz val="11"/>
      <color rgb="FF0000FF"/>
      <name val="Calibri"/>
      <family val="2"/>
    </font>
    <font>
      <i/>
      <sz val="11"/>
      <color theme="0" tint="-0.499984740745262"/>
      <name val="Calibri"/>
      <family val="2"/>
      <scheme val="minor"/>
    </font>
    <font>
      <vertAlign val="superscript"/>
      <sz val="11"/>
      <color theme="1"/>
      <name val="Calibri"/>
      <family val="2"/>
      <scheme val="minor"/>
    </font>
    <font>
      <sz val="11"/>
      <color rgb="FFA6A6A6"/>
      <name val="Calibri"/>
      <family val="2"/>
      <scheme val="minor"/>
    </font>
    <font>
      <sz val="9"/>
      <color indexed="81"/>
      <name val="Tahoma"/>
      <family val="2"/>
    </font>
    <font>
      <b/>
      <sz val="9"/>
      <color indexed="81"/>
      <name val="Tahoma"/>
      <family val="2"/>
    </font>
    <font>
      <i/>
      <sz val="11"/>
      <name val="Calibri"/>
      <family val="2"/>
    </font>
    <font>
      <sz val="11"/>
      <name val="Calibri"/>
      <family val="2"/>
    </font>
  </fonts>
  <fills count="6">
    <fill>
      <patternFill patternType="none"/>
    </fill>
    <fill>
      <patternFill patternType="gray125"/>
    </fill>
    <fill>
      <patternFill patternType="solid">
        <fgColor rgb="FFFFFF00"/>
        <bgColor indexed="64"/>
      </patternFill>
    </fill>
    <fill>
      <patternFill patternType="solid">
        <fgColor rgb="FF0066CC"/>
        <bgColor indexed="64"/>
      </patternFill>
    </fill>
    <fill>
      <patternFill patternType="solid">
        <fgColor indexed="65"/>
        <bgColor indexed="64"/>
      </patternFill>
    </fill>
    <fill>
      <patternFill patternType="solid">
        <fgColor rgb="FFD9D9D9"/>
        <bgColor indexed="64"/>
      </patternFill>
    </fill>
  </fills>
  <borders count="37">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style="thin">
        <color theme="0" tint="-0.24994659260841701"/>
      </left>
      <right/>
      <top/>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34998626667073579"/>
      </left>
      <right/>
      <top/>
      <bottom/>
      <diagonal/>
    </border>
  </borders>
  <cellStyleXfs count="2">
    <xf numFmtId="0" fontId="0" fillId="0" borderId="0"/>
    <xf numFmtId="9" fontId="1" fillId="0" borderId="0" applyFont="0" applyFill="0" applyBorder="0" applyAlignment="0" applyProtection="0"/>
  </cellStyleXfs>
  <cellXfs count="174">
    <xf numFmtId="0" fontId="0" fillId="0" borderId="0" xfId="0"/>
    <xf numFmtId="0" fontId="0" fillId="0" borderId="0" xfId="0" applyAlignment="1">
      <alignment horizontal="center" vertical="center"/>
    </xf>
    <xf numFmtId="0" fontId="3" fillId="0" borderId="0" xfId="0" applyFont="1"/>
    <xf numFmtId="14" fontId="0" fillId="0" borderId="0" xfId="0" applyNumberFormat="1"/>
    <xf numFmtId="0" fontId="3" fillId="0" borderId="0" xfId="0" applyFont="1" applyAlignment="1" applyProtection="1">
      <alignment horizontal="center"/>
    </xf>
    <xf numFmtId="0" fontId="3" fillId="0" borderId="4" xfId="0" applyFont="1" applyBorder="1" applyAlignment="1">
      <alignment horizontal="center" vertical="center"/>
    </xf>
    <xf numFmtId="165" fontId="3" fillId="0" borderId="5" xfId="0" applyNumberFormat="1" applyFont="1" applyBorder="1" applyAlignment="1">
      <alignment horizontal="left" vertical="center"/>
    </xf>
    <xf numFmtId="0" fontId="3" fillId="0" borderId="6" xfId="0" applyFont="1" applyBorder="1" applyAlignment="1">
      <alignment horizontal="left" vertical="center" wrapText="1"/>
    </xf>
    <xf numFmtId="0" fontId="0" fillId="0" borderId="7" xfId="0" applyFont="1" applyBorder="1" applyAlignment="1">
      <alignment horizontal="center" vertical="center"/>
    </xf>
    <xf numFmtId="165" fontId="0" fillId="0" borderId="8" xfId="0" applyNumberFormat="1" applyFont="1" applyBorder="1" applyAlignment="1">
      <alignment horizontal="left" vertical="center"/>
    </xf>
    <xf numFmtId="0" fontId="0" fillId="0" borderId="9" xfId="0" quotePrefix="1" applyFont="1" applyBorder="1" applyAlignment="1">
      <alignment horizontal="left" vertical="center" wrapText="1"/>
    </xf>
    <xf numFmtId="0" fontId="6" fillId="0" borderId="0" xfId="0" applyFont="1"/>
    <xf numFmtId="0" fontId="0" fillId="0" borderId="10" xfId="0" applyFont="1" applyBorder="1" applyAlignment="1">
      <alignment horizontal="center" vertical="center"/>
    </xf>
    <xf numFmtId="165" fontId="0" fillId="0" borderId="11" xfId="0" applyNumberFormat="1" applyFont="1" applyBorder="1" applyAlignment="1">
      <alignment horizontal="left" vertical="center"/>
    </xf>
    <xf numFmtId="0" fontId="0" fillId="0" borderId="12" xfId="0" quotePrefix="1" applyFont="1" applyBorder="1" applyAlignment="1">
      <alignment horizontal="left" vertical="center" wrapText="1"/>
    </xf>
    <xf numFmtId="0" fontId="0" fillId="0" borderId="12" xfId="0" applyFont="1" applyBorder="1" applyAlignment="1">
      <alignment horizontal="left" vertical="center" wrapText="1"/>
    </xf>
    <xf numFmtId="0" fontId="0" fillId="0" borderId="0" xfId="0" applyProtection="1"/>
    <xf numFmtId="0" fontId="0" fillId="0" borderId="0" xfId="0" quotePrefix="1" applyProtection="1"/>
    <xf numFmtId="0" fontId="5" fillId="0" borderId="0" xfId="0" applyFont="1" applyProtection="1"/>
    <xf numFmtId="0" fontId="0" fillId="0" borderId="0" xfId="0" applyAlignment="1" applyProtection="1">
      <alignment horizontal="center" vertical="center"/>
    </xf>
    <xf numFmtId="165" fontId="0" fillId="0" borderId="0" xfId="0" applyNumberFormat="1"/>
    <xf numFmtId="0" fontId="0" fillId="0" borderId="0" xfId="0" applyAlignment="1">
      <alignment horizontal="right"/>
    </xf>
    <xf numFmtId="0" fontId="7" fillId="2" borderId="3" xfId="0" applyFont="1" applyFill="1" applyBorder="1" applyAlignment="1" applyProtection="1">
      <alignment horizontal="left"/>
      <protection locked="0"/>
    </xf>
    <xf numFmtId="0" fontId="8" fillId="0" borderId="0" xfId="0" applyFont="1"/>
    <xf numFmtId="0" fontId="0" fillId="0" borderId="0" xfId="0" applyAlignment="1" applyProtection="1">
      <alignment horizontal="right"/>
    </xf>
    <xf numFmtId="0" fontId="0" fillId="0" borderId="0" xfId="0" quotePrefix="1" applyAlignment="1">
      <alignment horizontal="left"/>
    </xf>
    <xf numFmtId="0" fontId="0" fillId="0" borderId="0" xfId="0" applyFont="1" applyAlignment="1" applyProtection="1">
      <alignment horizontal="left" vertical="center"/>
    </xf>
    <xf numFmtId="0" fontId="2" fillId="3" borderId="14" xfId="0" applyFont="1" applyFill="1" applyBorder="1" applyAlignment="1" applyProtection="1">
      <alignment horizontal="center" wrapText="1"/>
    </xf>
    <xf numFmtId="0" fontId="2" fillId="3" borderId="13" xfId="0" applyFont="1" applyFill="1" applyBorder="1" applyAlignment="1" applyProtection="1">
      <alignment vertical="center" wrapText="1"/>
    </xf>
    <xf numFmtId="0" fontId="2" fillId="3" borderId="15" xfId="0" applyFont="1" applyFill="1" applyBorder="1" applyAlignment="1" applyProtection="1">
      <alignment vertical="center" wrapText="1"/>
    </xf>
    <xf numFmtId="0" fontId="2" fillId="3" borderId="16" xfId="0" applyFont="1" applyFill="1" applyBorder="1" applyAlignment="1" applyProtection="1">
      <alignment vertical="center" wrapText="1"/>
    </xf>
    <xf numFmtId="0" fontId="0" fillId="0" borderId="17" xfId="0" applyBorder="1" applyAlignment="1">
      <alignment horizontal="center"/>
    </xf>
    <xf numFmtId="0" fontId="2" fillId="3" borderId="14" xfId="0" applyFont="1" applyFill="1" applyBorder="1" applyAlignment="1" applyProtection="1">
      <alignment horizontal="center" vertical="center"/>
    </xf>
    <xf numFmtId="0" fontId="6" fillId="0" borderId="0" xfId="0" quotePrefix="1" applyFont="1" applyAlignment="1">
      <alignment horizontal="left"/>
    </xf>
    <xf numFmtId="0" fontId="0" fillId="0" borderId="18" xfId="0" applyBorder="1" applyAlignment="1">
      <alignment horizontal="center"/>
    </xf>
    <xf numFmtId="0" fontId="0" fillId="0" borderId="27" xfId="0" applyBorder="1" applyAlignment="1">
      <alignment horizontal="center"/>
    </xf>
    <xf numFmtId="0" fontId="0" fillId="0" borderId="19" xfId="0" applyBorder="1" applyAlignment="1">
      <alignment horizontal="center"/>
    </xf>
    <xf numFmtId="0" fontId="9" fillId="4" borderId="10" xfId="0" applyFont="1" applyFill="1" applyBorder="1" applyAlignment="1">
      <alignment horizontal="center" vertical="center"/>
    </xf>
    <xf numFmtId="165" fontId="9" fillId="4" borderId="11" xfId="0" applyNumberFormat="1" applyFont="1" applyFill="1" applyBorder="1" applyAlignment="1">
      <alignment horizontal="left" vertical="center"/>
    </xf>
    <xf numFmtId="0" fontId="9" fillId="4" borderId="12" xfId="0" applyFont="1" applyFill="1" applyBorder="1" applyAlignment="1">
      <alignment horizontal="left" vertical="center" wrapText="1"/>
    </xf>
    <xf numFmtId="0" fontId="2" fillId="3" borderId="14" xfId="0" applyFont="1" applyFill="1" applyBorder="1" applyAlignment="1" applyProtection="1">
      <alignment horizontal="center" vertical="center" wrapText="1"/>
    </xf>
    <xf numFmtId="0" fontId="2" fillId="3" borderId="14" xfId="0" quotePrefix="1" applyFont="1" applyFill="1" applyBorder="1" applyAlignment="1" applyProtection="1">
      <alignment horizontal="center" vertical="center"/>
    </xf>
    <xf numFmtId="0" fontId="2" fillId="3" borderId="28" xfId="0" applyFont="1" applyFill="1" applyBorder="1" applyAlignment="1" applyProtection="1">
      <alignment horizontal="center" vertical="center"/>
    </xf>
    <xf numFmtId="0" fontId="2" fillId="3" borderId="29" xfId="0" applyFont="1" applyFill="1" applyBorder="1" applyAlignment="1" applyProtection="1">
      <alignment horizontal="center" vertical="top" wrapText="1"/>
    </xf>
    <xf numFmtId="0" fontId="9" fillId="4" borderId="12" xfId="0" quotePrefix="1" applyFont="1" applyFill="1" applyBorder="1" applyAlignment="1">
      <alignment horizontal="left" vertical="center" wrapText="1"/>
    </xf>
    <xf numFmtId="0" fontId="0" fillId="0" borderId="0" xfId="0" applyAlignment="1">
      <alignment horizontal="left"/>
    </xf>
    <xf numFmtId="0" fontId="12" fillId="0" borderId="0" xfId="0" quotePrefix="1" applyFont="1" applyAlignment="1">
      <alignment horizontal="left"/>
    </xf>
    <xf numFmtId="0" fontId="14" fillId="0" borderId="0" xfId="0" quotePrefix="1" applyFont="1" applyAlignment="1" applyProtection="1">
      <alignment horizontal="left"/>
    </xf>
    <xf numFmtId="0" fontId="14" fillId="0" borderId="0" xfId="0" applyFont="1" applyAlignment="1" applyProtection="1">
      <alignment horizontal="right"/>
    </xf>
    <xf numFmtId="0" fontId="13" fillId="0" borderId="0" xfId="0" applyFont="1" applyAlignment="1" applyProtection="1">
      <alignment horizontal="center"/>
    </xf>
    <xf numFmtId="0" fontId="0" fillId="0" borderId="0" xfId="0" applyFont="1" applyAlignment="1">
      <alignment horizontal="right" vertical="center"/>
    </xf>
    <xf numFmtId="0" fontId="2" fillId="3" borderId="18" xfId="0" applyFont="1" applyFill="1" applyBorder="1" applyAlignment="1" applyProtection="1">
      <alignment horizontal="center" vertical="center" wrapText="1"/>
    </xf>
    <xf numFmtId="0" fontId="2" fillId="3" borderId="27" xfId="0" applyFont="1" applyFill="1" applyBorder="1" applyAlignment="1" applyProtection="1">
      <alignment horizontal="center" vertical="center" wrapText="1"/>
    </xf>
    <xf numFmtId="0" fontId="6" fillId="0" borderId="0" xfId="0" quotePrefix="1" applyFont="1" applyAlignment="1">
      <alignment horizontal="left" vertical="center"/>
    </xf>
    <xf numFmtId="0" fontId="17" fillId="5" borderId="17" xfId="0" applyFont="1" applyFill="1" applyBorder="1" applyAlignment="1" applyProtection="1">
      <alignment horizontal="center"/>
    </xf>
    <xf numFmtId="165" fontId="18" fillId="5" borderId="17" xfId="0" applyNumberFormat="1" applyFont="1" applyFill="1" applyBorder="1" applyAlignment="1" applyProtection="1">
      <alignment horizontal="center"/>
    </xf>
    <xf numFmtId="0" fontId="18" fillId="5" borderId="17" xfId="0" applyFont="1" applyFill="1" applyBorder="1" applyAlignment="1" applyProtection="1">
      <alignment horizontal="center"/>
    </xf>
    <xf numFmtId="0" fontId="4" fillId="0" borderId="17" xfId="0" applyFont="1" applyBorder="1" applyAlignment="1" applyProtection="1">
      <alignment horizontal="center"/>
      <protection locked="0"/>
    </xf>
    <xf numFmtId="0" fontId="9" fillId="0" borderId="17" xfId="0" applyFont="1" applyBorder="1" applyAlignment="1" applyProtection="1">
      <alignment horizontal="center"/>
    </xf>
    <xf numFmtId="165" fontId="4" fillId="0" borderId="17" xfId="0" applyNumberFormat="1" applyFont="1" applyBorder="1" applyAlignment="1" applyProtection="1">
      <alignment horizontal="center"/>
      <protection locked="0"/>
    </xf>
    <xf numFmtId="0" fontId="0" fillId="0" borderId="0" xfId="0" applyAlignment="1">
      <alignment horizontal="center"/>
    </xf>
    <xf numFmtId="14" fontId="0" fillId="0" borderId="0" xfId="0" applyNumberFormat="1" applyFont="1" applyAlignment="1">
      <alignment horizontal="right" vertical="center"/>
    </xf>
    <xf numFmtId="49" fontId="7" fillId="0" borderId="17" xfId="0" quotePrefix="1" applyNumberFormat="1" applyFont="1" applyBorder="1" applyAlignment="1" applyProtection="1">
      <alignment horizontal="center"/>
      <protection locked="0"/>
    </xf>
    <xf numFmtId="0" fontId="14" fillId="0" borderId="0" xfId="0" applyFont="1" applyAlignment="1" applyProtection="1">
      <alignment horizontal="left"/>
    </xf>
    <xf numFmtId="166" fontId="9" fillId="0" borderId="17" xfId="0" applyNumberFormat="1" applyFont="1" applyBorder="1" applyAlignment="1">
      <alignment horizontal="center"/>
    </xf>
    <xf numFmtId="0" fontId="2" fillId="3" borderId="14" xfId="0" applyFont="1" applyFill="1" applyBorder="1" applyAlignment="1" applyProtection="1">
      <alignment horizontal="center" vertical="center"/>
    </xf>
    <xf numFmtId="0" fontId="0" fillId="0" borderId="17" xfId="0" quotePrefix="1" applyBorder="1" applyAlignment="1">
      <alignment horizontal="center"/>
    </xf>
    <xf numFmtId="0" fontId="7" fillId="2" borderId="1" xfId="0" quotePrefix="1" applyFont="1" applyFill="1" applyBorder="1" applyAlignment="1" applyProtection="1">
      <alignment horizontal="left"/>
      <protection locked="0"/>
    </xf>
    <xf numFmtId="0" fontId="0" fillId="0" borderId="18" xfId="0" quotePrefix="1" applyBorder="1" applyAlignment="1">
      <alignment horizontal="center"/>
    </xf>
    <xf numFmtId="0" fontId="0" fillId="0" borderId="17" xfId="0" applyBorder="1"/>
    <xf numFmtId="0" fontId="7" fillId="0" borderId="17" xfId="0" applyFont="1" applyBorder="1" applyProtection="1">
      <protection locked="0"/>
    </xf>
    <xf numFmtId="0" fontId="14" fillId="0" borderId="0" xfId="0" applyFont="1"/>
    <xf numFmtId="0" fontId="0" fillId="0" borderId="0" xfId="0" applyNumberFormat="1"/>
    <xf numFmtId="0" fontId="0" fillId="0" borderId="0" xfId="0" applyNumberFormat="1" applyProtection="1"/>
    <xf numFmtId="0" fontId="3" fillId="0" borderId="0" xfId="0" applyNumberFormat="1" applyFont="1" applyAlignment="1" applyProtection="1">
      <alignment horizontal="center" vertical="center"/>
    </xf>
    <xf numFmtId="38" fontId="0" fillId="0" borderId="0" xfId="0" applyNumberFormat="1" applyFont="1" applyAlignment="1" applyProtection="1">
      <alignment horizontal="center" vertical="center"/>
    </xf>
    <xf numFmtId="0" fontId="0" fillId="0" borderId="17" xfId="0" applyBorder="1" applyAlignment="1">
      <alignment horizontal="right" vertical="center" wrapText="1"/>
    </xf>
    <xf numFmtId="0" fontId="0" fillId="0" borderId="18" xfId="0" quotePrefix="1" applyBorder="1" applyAlignment="1">
      <alignment horizontal="left"/>
    </xf>
    <xf numFmtId="0" fontId="0" fillId="0" borderId="27" xfId="0" quotePrefix="1" applyBorder="1" applyAlignment="1">
      <alignment horizontal="left"/>
    </xf>
    <xf numFmtId="0" fontId="0" fillId="0" borderId="27" xfId="0" applyBorder="1" applyAlignment="1">
      <alignment horizontal="left"/>
    </xf>
    <xf numFmtId="11" fontId="0" fillId="0" borderId="27" xfId="0" quotePrefix="1" applyNumberFormat="1" applyBorder="1" applyAlignment="1">
      <alignment horizontal="left"/>
    </xf>
    <xf numFmtId="0" fontId="0" fillId="0" borderId="19" xfId="0" applyBorder="1" applyAlignment="1">
      <alignment horizontal="left"/>
    </xf>
    <xf numFmtId="0" fontId="11" fillId="3" borderId="18" xfId="0" applyFont="1" applyFill="1" applyBorder="1" applyAlignment="1">
      <alignment horizontal="right" vertical="center" wrapText="1"/>
    </xf>
    <xf numFmtId="0" fontId="11" fillId="3" borderId="18" xfId="0" applyFont="1" applyFill="1" applyBorder="1" applyAlignment="1">
      <alignment horizontal="left" vertical="center" wrapText="1"/>
    </xf>
    <xf numFmtId="0" fontId="7" fillId="2" borderId="2" xfId="0" quotePrefix="1" applyNumberFormat="1" applyFont="1" applyFill="1" applyBorder="1" applyAlignment="1" applyProtection="1">
      <alignment horizontal="left" vertical="center"/>
      <protection locked="0"/>
    </xf>
    <xf numFmtId="0" fontId="0" fillId="0" borderId="34" xfId="0" applyBorder="1"/>
    <xf numFmtId="0" fontId="0" fillId="0" borderId="30" xfId="0" applyBorder="1"/>
    <xf numFmtId="0" fontId="0" fillId="0" borderId="23" xfId="0" applyBorder="1"/>
    <xf numFmtId="0" fontId="0" fillId="0" borderId="22" xfId="0" applyBorder="1"/>
    <xf numFmtId="0" fontId="0" fillId="0" borderId="24" xfId="0" applyBorder="1"/>
    <xf numFmtId="0" fontId="3" fillId="0" borderId="0" xfId="0" quotePrefix="1" applyFont="1" applyAlignment="1">
      <alignment horizontal="left"/>
    </xf>
    <xf numFmtId="0" fontId="3" fillId="0" borderId="0" xfId="0" applyFont="1" applyAlignment="1">
      <alignment horizontal="center"/>
    </xf>
    <xf numFmtId="0" fontId="0" fillId="0" borderId="30" xfId="0" quotePrefix="1" applyBorder="1" applyAlignment="1">
      <alignment horizontal="left"/>
    </xf>
    <xf numFmtId="0" fontId="0" fillId="0" borderId="30" xfId="0" applyFill="1" applyBorder="1"/>
    <xf numFmtId="38" fontId="7" fillId="0" borderId="17" xfId="0" applyNumberFormat="1" applyFont="1" applyFill="1" applyBorder="1" applyAlignment="1" applyProtection="1">
      <alignment horizontal="left" vertical="center"/>
      <protection locked="0"/>
    </xf>
    <xf numFmtId="167" fontId="4" fillId="0" borderId="17" xfId="0" applyNumberFormat="1" applyFont="1" applyBorder="1" applyAlignment="1" applyProtection="1">
      <alignment horizontal="center"/>
      <protection locked="0"/>
    </xf>
    <xf numFmtId="167" fontId="21" fillId="5" borderId="17" xfId="0" applyNumberFormat="1" applyFont="1" applyFill="1" applyBorder="1" applyAlignment="1" applyProtection="1">
      <alignment horizontal="center"/>
    </xf>
    <xf numFmtId="0" fontId="2" fillId="3" borderId="14"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28" xfId="0" applyFont="1" applyFill="1" applyBorder="1" applyAlignment="1" applyProtection="1">
      <alignment horizontal="center" wrapText="1"/>
    </xf>
    <xf numFmtId="0" fontId="2" fillId="3" borderId="29" xfId="0" applyFont="1" applyFill="1" applyBorder="1" applyAlignment="1" applyProtection="1">
      <alignment horizontal="center" vertical="center" wrapText="1"/>
    </xf>
    <xf numFmtId="0" fontId="2" fillId="3" borderId="29" xfId="0" quotePrefix="1" applyFont="1" applyFill="1" applyBorder="1" applyAlignment="1" applyProtection="1">
      <alignment horizontal="center" vertical="center"/>
    </xf>
    <xf numFmtId="0" fontId="11" fillId="3" borderId="20" xfId="0" applyFont="1" applyFill="1" applyBorder="1" applyAlignment="1">
      <alignment horizontal="centerContinuous" vertical="center"/>
    </xf>
    <xf numFmtId="0" fontId="11" fillId="3" borderId="25" xfId="0" applyFont="1" applyFill="1" applyBorder="1" applyAlignment="1">
      <alignment horizontal="centerContinuous" vertical="center"/>
    </xf>
    <xf numFmtId="0" fontId="11" fillId="3" borderId="35" xfId="0" applyFont="1" applyFill="1" applyBorder="1" applyAlignment="1">
      <alignment vertical="center"/>
    </xf>
    <xf numFmtId="0" fontId="2" fillId="3" borderId="36" xfId="0" applyFont="1" applyFill="1" applyBorder="1" applyAlignment="1" applyProtection="1">
      <alignment horizontal="center" vertical="center"/>
    </xf>
    <xf numFmtId="0" fontId="2" fillId="3" borderId="36" xfId="0" quotePrefix="1" applyFont="1" applyFill="1" applyBorder="1" applyAlignment="1" applyProtection="1">
      <alignment horizontal="center" vertical="center"/>
    </xf>
    <xf numFmtId="0" fontId="11" fillId="3" borderId="21" xfId="0" applyFont="1" applyFill="1" applyBorder="1" applyAlignment="1" applyProtection="1">
      <alignment vertical="center"/>
    </xf>
    <xf numFmtId="0" fontId="11" fillId="3" borderId="34" xfId="0" applyFont="1" applyFill="1" applyBorder="1" applyAlignment="1">
      <alignment vertical="center"/>
    </xf>
    <xf numFmtId="0" fontId="2" fillId="3" borderId="18" xfId="0" applyFont="1" applyFill="1" applyBorder="1" applyAlignment="1" applyProtection="1">
      <alignment horizontal="center" wrapText="1"/>
    </xf>
    <xf numFmtId="0" fontId="2" fillId="3" borderId="32" xfId="0" applyFont="1" applyFill="1" applyBorder="1" applyAlignment="1" applyProtection="1">
      <alignment horizontal="centerContinuous" vertical="center" wrapText="1"/>
    </xf>
    <xf numFmtId="0" fontId="2" fillId="3" borderId="31" xfId="0" applyFont="1" applyFill="1" applyBorder="1" applyAlignment="1" applyProtection="1">
      <alignment horizontal="centerContinuous" vertical="center" wrapText="1"/>
    </xf>
    <xf numFmtId="0" fontId="2" fillId="3" borderId="33" xfId="0" applyFont="1" applyFill="1" applyBorder="1" applyAlignment="1" applyProtection="1">
      <alignment horizontal="centerContinuous" vertical="center" wrapText="1"/>
    </xf>
    <xf numFmtId="0" fontId="2" fillId="3" borderId="14" xfId="0" applyFont="1" applyFill="1" applyBorder="1" applyAlignment="1" applyProtection="1">
      <alignment vertical="center"/>
    </xf>
    <xf numFmtId="0" fontId="2" fillId="3" borderId="29" xfId="0" applyFont="1" applyFill="1" applyBorder="1" applyAlignment="1" applyProtection="1">
      <alignment vertical="center"/>
    </xf>
    <xf numFmtId="0" fontId="2" fillId="3" borderId="20" xfId="0" applyFont="1" applyFill="1" applyBorder="1" applyAlignment="1" applyProtection="1">
      <alignment vertical="center"/>
    </xf>
    <xf numFmtId="0" fontId="2" fillId="3" borderId="26" xfId="0" applyFont="1" applyFill="1" applyBorder="1" applyAlignment="1" applyProtection="1">
      <alignment vertical="center"/>
    </xf>
    <xf numFmtId="0" fontId="2" fillId="3" borderId="20" xfId="0" applyFont="1" applyFill="1" applyBorder="1" applyAlignment="1" applyProtection="1">
      <alignment horizontal="centerContinuous" vertical="center" wrapText="1"/>
    </xf>
    <xf numFmtId="0" fontId="2" fillId="3" borderId="25" xfId="0" applyFont="1" applyFill="1" applyBorder="1" applyAlignment="1" applyProtection="1">
      <alignment horizontal="centerContinuous" vertical="center" wrapText="1"/>
    </xf>
    <xf numFmtId="0" fontId="2" fillId="3" borderId="26" xfId="0" applyFont="1" applyFill="1" applyBorder="1" applyAlignment="1" applyProtection="1">
      <alignment horizontal="centerContinuous" vertical="center" wrapText="1"/>
    </xf>
    <xf numFmtId="0" fontId="2" fillId="3" borderId="20" xfId="0" quotePrefix="1" applyFont="1" applyFill="1" applyBorder="1" applyAlignment="1" applyProtection="1">
      <alignment horizontal="centerContinuous" vertical="center" wrapText="1"/>
    </xf>
    <xf numFmtId="0" fontId="2" fillId="3" borderId="25" xfId="0" quotePrefix="1" applyFont="1" applyFill="1" applyBorder="1" applyAlignment="1" applyProtection="1">
      <alignment horizontal="centerContinuous" vertical="center" wrapText="1"/>
    </xf>
    <xf numFmtId="0" fontId="2" fillId="3" borderId="26" xfId="0" quotePrefix="1" applyFont="1" applyFill="1" applyBorder="1" applyAlignment="1" applyProtection="1">
      <alignment horizontal="centerContinuous" vertical="center" wrapText="1"/>
    </xf>
    <xf numFmtId="0" fontId="11" fillId="3" borderId="18" xfId="0" applyFont="1" applyFill="1" applyBorder="1" applyAlignment="1">
      <alignment horizontal="center" vertical="center"/>
    </xf>
    <xf numFmtId="0" fontId="2" fillId="3" borderId="23" xfId="0" applyFont="1" applyFill="1" applyBorder="1" applyAlignment="1" applyProtection="1">
      <alignment horizontal="center" vertical="top" wrapText="1"/>
    </xf>
    <xf numFmtId="0" fontId="11" fillId="3" borderId="35" xfId="0" applyFont="1" applyFill="1" applyBorder="1" applyAlignment="1">
      <alignment horizontal="center" vertical="center"/>
    </xf>
    <xf numFmtId="0" fontId="5" fillId="0" borderId="0" xfId="0" applyFont="1" applyAlignment="1">
      <alignment vertical="top"/>
    </xf>
    <xf numFmtId="0" fontId="12" fillId="0" borderId="0" xfId="0" applyFont="1"/>
    <xf numFmtId="0" fontId="26" fillId="0" borderId="0" xfId="0" quotePrefix="1" applyFont="1" applyAlignment="1">
      <alignment horizontal="left"/>
    </xf>
    <xf numFmtId="0" fontId="2" fillId="3" borderId="30" xfId="0" applyFont="1" applyFill="1" applyBorder="1" applyAlignment="1" applyProtection="1">
      <alignment horizontal="center" vertical="center" wrapText="1"/>
    </xf>
    <xf numFmtId="20" fontId="9" fillId="4" borderId="11" xfId="0" quotePrefix="1" applyNumberFormat="1" applyFont="1" applyFill="1" applyBorder="1" applyAlignment="1">
      <alignment horizontal="left" vertical="center"/>
    </xf>
    <xf numFmtId="20" fontId="0" fillId="0" borderId="11" xfId="0" quotePrefix="1" applyNumberFormat="1" applyFont="1" applyBorder="1" applyAlignment="1">
      <alignment horizontal="left" vertical="center"/>
    </xf>
    <xf numFmtId="38" fontId="0" fillId="0" borderId="0" xfId="0" applyNumberFormat="1"/>
    <xf numFmtId="0" fontId="15" fillId="4" borderId="12" xfId="0" quotePrefix="1" applyFont="1" applyFill="1" applyBorder="1" applyAlignment="1">
      <alignment horizontal="left" vertical="center" wrapText="1"/>
    </xf>
    <xf numFmtId="0" fontId="0" fillId="0" borderId="21" xfId="0" applyBorder="1"/>
    <xf numFmtId="167" fontId="18" fillId="5" borderId="17" xfId="0" applyNumberFormat="1" applyFont="1" applyFill="1" applyBorder="1" applyAlignment="1" applyProtection="1">
      <alignment horizontal="center"/>
    </xf>
    <xf numFmtId="167" fontId="17" fillId="5" borderId="17" xfId="0" applyNumberFormat="1" applyFont="1" applyFill="1" applyBorder="1" applyAlignment="1" applyProtection="1">
      <alignment horizontal="center"/>
    </xf>
    <xf numFmtId="38" fontId="9" fillId="0" borderId="17" xfId="0" applyNumberFormat="1" applyFont="1" applyBorder="1" applyAlignment="1">
      <alignment horizontal="center"/>
    </xf>
    <xf numFmtId="38" fontId="9" fillId="0" borderId="17" xfId="0" applyNumberFormat="1" applyFont="1" applyBorder="1" applyAlignment="1"/>
    <xf numFmtId="38" fontId="4" fillId="0" borderId="17" xfId="0" applyNumberFormat="1" applyFont="1" applyBorder="1" applyAlignment="1" applyProtection="1">
      <alignment horizontal="center"/>
      <protection locked="0"/>
    </xf>
    <xf numFmtId="38" fontId="17" fillId="5" borderId="17" xfId="0" applyNumberFormat="1" applyFont="1" applyFill="1" applyBorder="1" applyAlignment="1" applyProtection="1">
      <alignment horizontal="center"/>
    </xf>
    <xf numFmtId="38" fontId="18" fillId="5" borderId="17" xfId="0" applyNumberFormat="1" applyFont="1" applyFill="1" applyBorder="1" applyAlignment="1" applyProtection="1">
      <alignment horizontal="center"/>
    </xf>
    <xf numFmtId="0" fontId="0" fillId="0" borderId="0" xfId="0" applyAlignment="1">
      <alignment wrapText="1"/>
    </xf>
    <xf numFmtId="0" fontId="0" fillId="0" borderId="17" xfId="0" applyBorder="1" applyAlignment="1">
      <alignment horizontal="right" vertical="center"/>
    </xf>
    <xf numFmtId="0" fontId="7" fillId="0" borderId="17" xfId="0" applyNumberFormat="1" applyFont="1" applyFill="1" applyBorder="1" applyAlignment="1" applyProtection="1">
      <alignment horizontal="left" vertical="center"/>
      <protection locked="0"/>
    </xf>
    <xf numFmtId="0" fontId="0" fillId="0" borderId="17" xfId="0" quotePrefix="1" applyBorder="1" applyAlignment="1">
      <alignment horizontal="right" vertical="center" wrapText="1"/>
    </xf>
    <xf numFmtId="164" fontId="7" fillId="0" borderId="17" xfId="0" applyNumberFormat="1" applyFont="1" applyFill="1" applyBorder="1" applyAlignment="1" applyProtection="1">
      <alignment horizontal="left" vertical="center"/>
      <protection locked="0"/>
    </xf>
    <xf numFmtId="9" fontId="7" fillId="0" borderId="17" xfId="1" applyNumberFormat="1" applyFont="1" applyFill="1" applyBorder="1" applyAlignment="1" applyProtection="1">
      <alignment horizontal="left" vertical="center"/>
      <protection locked="0"/>
    </xf>
    <xf numFmtId="0" fontId="7" fillId="0" borderId="17" xfId="0" quotePrefix="1" applyNumberFormat="1" applyFont="1" applyBorder="1" applyAlignment="1" applyProtection="1">
      <alignment horizontal="left" vertical="center" wrapText="1"/>
      <protection locked="0"/>
    </xf>
    <xf numFmtId="0" fontId="0" fillId="0" borderId="17" xfId="0" quotePrefix="1" applyBorder="1" applyAlignment="1">
      <alignment horizontal="left" vertical="center" wrapText="1"/>
    </xf>
    <xf numFmtId="0" fontId="0" fillId="0" borderId="17" xfId="0" applyBorder="1" applyAlignment="1">
      <alignment horizontal="left" vertical="center" wrapText="1"/>
    </xf>
    <xf numFmtId="0" fontId="11" fillId="3" borderId="30" xfId="0" applyFont="1" applyFill="1" applyBorder="1" applyAlignment="1">
      <alignment horizontal="left" vertical="center" wrapText="1"/>
    </xf>
    <xf numFmtId="0" fontId="0" fillId="0" borderId="20" xfId="0" applyBorder="1" applyAlignment="1">
      <alignment vertical="center"/>
    </xf>
    <xf numFmtId="165" fontId="0" fillId="0" borderId="20" xfId="0" applyNumberFormat="1" applyBorder="1" applyAlignment="1">
      <alignment horizontal="left" vertical="center"/>
    </xf>
    <xf numFmtId="0" fontId="0" fillId="0" borderId="20" xfId="0" quotePrefix="1" applyBorder="1" applyAlignment="1">
      <alignment horizontal="right" vertical="center"/>
    </xf>
    <xf numFmtId="0" fontId="0" fillId="0" borderId="21" xfId="0" applyBorder="1" applyAlignment="1">
      <alignment horizontal="right" vertical="center"/>
    </xf>
    <xf numFmtId="0" fontId="0" fillId="0" borderId="19" xfId="0" quotePrefix="1" applyBorder="1" applyAlignment="1">
      <alignment horizontal="left" vertical="center" wrapText="1"/>
    </xf>
    <xf numFmtId="0" fontId="7" fillId="0" borderId="17" xfId="0" quotePrefix="1" applyNumberFormat="1" applyFont="1" applyBorder="1" applyAlignment="1" applyProtection="1">
      <protection locked="0"/>
    </xf>
    <xf numFmtId="0" fontId="28" fillId="0" borderId="0" xfId="0" applyFont="1" applyAlignment="1" applyProtection="1">
      <alignment horizontal="center"/>
    </xf>
    <xf numFmtId="0" fontId="7" fillId="0" borderId="19" xfId="0" quotePrefix="1" applyNumberFormat="1" applyFont="1" applyFill="1" applyBorder="1" applyAlignment="1" applyProtection="1">
      <alignment horizontal="left" vertical="center"/>
      <protection locked="0"/>
    </xf>
    <xf numFmtId="0" fontId="7" fillId="0" borderId="17" xfId="0" quotePrefix="1" applyNumberFormat="1" applyFont="1" applyBorder="1" applyAlignment="1" applyProtection="1">
      <alignment horizontal="left"/>
      <protection locked="0"/>
    </xf>
    <xf numFmtId="38" fontId="9" fillId="4" borderId="10" xfId="0" applyNumberFormat="1" applyFont="1" applyFill="1" applyBorder="1" applyAlignment="1">
      <alignment horizontal="center" vertical="center"/>
    </xf>
    <xf numFmtId="20" fontId="3" fillId="0" borderId="5" xfId="0" applyNumberFormat="1" applyFont="1" applyBorder="1" applyAlignment="1">
      <alignment horizontal="left" vertical="center"/>
    </xf>
    <xf numFmtId="20" fontId="9" fillId="4" borderId="11" xfId="0" applyNumberFormat="1" applyFont="1" applyFill="1" applyBorder="1" applyAlignment="1">
      <alignment horizontal="left" vertical="center"/>
    </xf>
    <xf numFmtId="20" fontId="0" fillId="0" borderId="11" xfId="0" applyNumberFormat="1" applyFont="1" applyBorder="1" applyAlignment="1">
      <alignment horizontal="left" vertical="center"/>
    </xf>
    <xf numFmtId="20" fontId="0" fillId="0" borderId="8" xfId="0" applyNumberFormat="1" applyFont="1" applyBorder="1" applyAlignment="1">
      <alignment horizontal="left" vertical="center"/>
    </xf>
    <xf numFmtId="0" fontId="2" fillId="3" borderId="18" xfId="0" quotePrefix="1" applyFont="1" applyFill="1" applyBorder="1" applyAlignment="1" applyProtection="1">
      <alignment horizontal="center" vertical="center" wrapText="1"/>
    </xf>
    <xf numFmtId="0" fontId="2" fillId="3" borderId="27" xfId="0" quotePrefix="1" applyFont="1" applyFill="1" applyBorder="1" applyAlignment="1" applyProtection="1">
      <alignment horizontal="center" vertical="center" wrapText="1"/>
    </xf>
    <xf numFmtId="0" fontId="5" fillId="0" borderId="0" xfId="0" quotePrefix="1" applyFont="1" applyAlignment="1">
      <alignment horizontal="left" vertical="top"/>
    </xf>
    <xf numFmtId="168" fontId="9" fillId="4" borderId="10" xfId="0" applyNumberFormat="1" applyFont="1" applyFill="1" applyBorder="1" applyAlignment="1">
      <alignment horizontal="center" vertical="center"/>
    </xf>
    <xf numFmtId="169" fontId="3" fillId="0" borderId="5" xfId="0" applyNumberFormat="1" applyFont="1" applyBorder="1" applyAlignment="1">
      <alignment horizontal="left" vertical="center"/>
    </xf>
    <xf numFmtId="169" fontId="9" fillId="4" borderId="11" xfId="0" applyNumberFormat="1" applyFont="1" applyFill="1" applyBorder="1" applyAlignment="1">
      <alignment horizontal="left" vertical="center"/>
    </xf>
    <xf numFmtId="169" fontId="0" fillId="0" borderId="11" xfId="0" applyNumberFormat="1" applyFont="1" applyBorder="1" applyAlignment="1">
      <alignment horizontal="left" vertical="center"/>
    </xf>
    <xf numFmtId="169" fontId="0" fillId="0" borderId="8" xfId="0" applyNumberFormat="1" applyFont="1" applyBorder="1" applyAlignment="1">
      <alignment horizontal="left" vertical="center"/>
    </xf>
  </cellXfs>
  <cellStyles count="2">
    <cellStyle name="Normal" xfId="0" builtinId="0"/>
    <cellStyle name="Percent" xfId="1" builtinId="5"/>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fgColor indexed="64"/>
          <bgColor rgb="FFFFFF99"/>
        </patternFill>
      </fill>
    </dxf>
    <dxf>
      <fill>
        <patternFill>
          <fgColor indexed="64"/>
          <bgColor rgb="FFFFFF99"/>
        </patternFill>
      </fill>
    </dxf>
    <dxf>
      <fill>
        <patternFill>
          <fgColor indexed="64"/>
          <bgColor rgb="FFFFFF99"/>
        </patternFill>
      </fill>
    </dxf>
    <dxf>
      <font>
        <color rgb="FFFF0000"/>
      </font>
    </dxf>
    <dxf>
      <fill>
        <patternFill>
          <fgColor indexed="64"/>
          <bgColor rgb="FFFFFF99"/>
        </patternFill>
      </fill>
    </dxf>
  </dxfs>
  <tableStyles count="0" defaultTableStyle="TableStyleMedium2" defaultPivotStyle="PivotStyleLight16"/>
  <colors>
    <mruColors>
      <color rgb="FF0000FF"/>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ANZB_AU_MEL's exposure to Airbus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CounterpartyViewer!$AA$10</c:f>
              <c:strCache>
                <c:ptCount val="1"/>
              </c:strCache>
            </c:strRef>
          </c:tx>
          <c:spPr>
            <a:ln w="19050" cap="rnd">
              <a:solidFill>
                <a:schemeClr val="accent1"/>
              </a:solidFill>
              <a:round/>
            </a:ln>
            <a:effectLst/>
          </c:spPr>
          <c:marker>
            <c:symbol val="none"/>
          </c:marker>
          <c:xVal>
            <c:numRef>
              <c:f>CounterpartyViewer!$Y$11:$Y$191</c:f>
              <c:numCache>
                <c:formatCode>General</c:formatCode>
                <c:ptCount val="181"/>
              </c:numCache>
            </c:numRef>
          </c:xVal>
          <c:yVal>
            <c:numRef>
              <c:f>CounterpartyViewer!$AA$11:$AA$191</c:f>
              <c:numCache>
                <c:formatCode>General</c:formatCode>
                <c:ptCount val="181"/>
              </c:numCache>
            </c:numRef>
          </c:yVal>
          <c:smooth val="0"/>
          <c:extLst>
            <c:ext xmlns:c16="http://schemas.microsoft.com/office/drawing/2014/chart" uri="{C3380CC4-5D6E-409C-BE32-E72D297353CC}">
              <c16:uniqueId val="{00000000-C893-4851-8DD1-73D2026C4E8D}"/>
            </c:ext>
          </c:extLst>
        </c:ser>
        <c:ser>
          <c:idx val="1"/>
          <c:order val="1"/>
          <c:tx>
            <c:strRef>
              <c:f>CounterpartyViewer!$AB$10</c:f>
              <c:strCache>
                <c:ptCount val="1"/>
              </c:strCache>
            </c:strRef>
          </c:tx>
          <c:spPr>
            <a:ln w="19050" cap="rnd">
              <a:solidFill>
                <a:schemeClr val="accent2"/>
              </a:solidFill>
              <a:round/>
            </a:ln>
            <a:effectLst/>
          </c:spPr>
          <c:marker>
            <c:symbol val="none"/>
          </c:marker>
          <c:xVal>
            <c:numRef>
              <c:f>CounterpartyViewer!$Y$11:$Y$191</c:f>
              <c:numCache>
                <c:formatCode>General</c:formatCode>
                <c:ptCount val="181"/>
              </c:numCache>
            </c:numRef>
          </c:xVal>
          <c:yVal>
            <c:numRef>
              <c:f>CounterpartyViewer!$AB$11:$AB$191</c:f>
              <c:numCache>
                <c:formatCode>General</c:formatCode>
                <c:ptCount val="181"/>
              </c:numCache>
            </c:numRef>
          </c:yVal>
          <c:smooth val="0"/>
          <c:extLst>
            <c:ext xmlns:c16="http://schemas.microsoft.com/office/drawing/2014/chart" uri="{C3380CC4-5D6E-409C-BE32-E72D297353CC}">
              <c16:uniqueId val="{00000001-C893-4851-8DD1-73D2026C4E8D}"/>
            </c:ext>
          </c:extLst>
        </c:ser>
        <c:ser>
          <c:idx val="2"/>
          <c:order val="2"/>
          <c:tx>
            <c:strRef>
              <c:f>CounterpartyViewer!$AC$10</c:f>
              <c:strCache>
                <c:ptCount val="1"/>
              </c:strCache>
            </c:strRef>
          </c:tx>
          <c:spPr>
            <a:ln w="19050" cap="rnd">
              <a:solidFill>
                <a:schemeClr val="accent3"/>
              </a:solidFill>
              <a:round/>
            </a:ln>
            <a:effectLst/>
          </c:spPr>
          <c:marker>
            <c:symbol val="none"/>
          </c:marker>
          <c:xVal>
            <c:numRef>
              <c:f>CounterpartyViewer!$Y$11:$Y$191</c:f>
              <c:numCache>
                <c:formatCode>General</c:formatCode>
                <c:ptCount val="181"/>
              </c:numCache>
            </c:numRef>
          </c:xVal>
          <c:yVal>
            <c:numRef>
              <c:f>CounterpartyViewer!$AC$11:$AC$191</c:f>
              <c:numCache>
                <c:formatCode>General</c:formatCode>
                <c:ptCount val="181"/>
              </c:numCache>
            </c:numRef>
          </c:yVal>
          <c:smooth val="0"/>
          <c:extLst>
            <c:ext xmlns:c16="http://schemas.microsoft.com/office/drawing/2014/chart" uri="{C3380CC4-5D6E-409C-BE32-E72D297353CC}">
              <c16:uniqueId val="{00000002-C893-4851-8DD1-73D2026C4E8D}"/>
            </c:ext>
          </c:extLst>
        </c:ser>
        <c:ser>
          <c:idx val="3"/>
          <c:order val="3"/>
          <c:tx>
            <c:strRef>
              <c:f>CounterpartyViewer!$AD$10</c:f>
              <c:strCache>
                <c:ptCount val="1"/>
              </c:strCache>
            </c:strRef>
          </c:tx>
          <c:spPr>
            <a:ln w="19050" cap="rnd">
              <a:solidFill>
                <a:schemeClr val="accent4"/>
              </a:solidFill>
              <a:round/>
            </a:ln>
            <a:effectLst/>
          </c:spPr>
          <c:marker>
            <c:symbol val="none"/>
          </c:marker>
          <c:xVal>
            <c:numRef>
              <c:f>CounterpartyViewer!$Y$11:$Y$191</c:f>
              <c:numCache>
                <c:formatCode>General</c:formatCode>
                <c:ptCount val="181"/>
              </c:numCache>
            </c:numRef>
          </c:xVal>
          <c:yVal>
            <c:numRef>
              <c:f>CounterpartyViewer!$AD$11:$AD$191</c:f>
              <c:numCache>
                <c:formatCode>General</c:formatCode>
                <c:ptCount val="181"/>
              </c:numCache>
            </c:numRef>
          </c:yVal>
          <c:smooth val="0"/>
          <c:extLst>
            <c:ext xmlns:c16="http://schemas.microsoft.com/office/drawing/2014/chart" uri="{C3380CC4-5D6E-409C-BE32-E72D297353CC}">
              <c16:uniqueId val="{00000003-C893-4851-8DD1-73D2026C4E8D}"/>
            </c:ext>
          </c:extLst>
        </c:ser>
        <c:dLbls>
          <c:showLegendKey val="0"/>
          <c:showVal val="0"/>
          <c:showCatName val="0"/>
          <c:showSerName val="0"/>
          <c:showPercent val="0"/>
          <c:showBubbleSize val="0"/>
        </c:dLbls>
        <c:axId val="352431904"/>
        <c:axId val="352432296"/>
      </c:scatterChart>
      <c:valAx>
        <c:axId val="352431904"/>
        <c:scaling>
          <c:orientation val="minMax"/>
          <c:max val="8.3333333333333301E-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2296"/>
        <c:crosses val="autoZero"/>
        <c:crossBetween val="midCat"/>
      </c:valAx>
      <c:valAx>
        <c:axId val="352432296"/>
        <c:scaling>
          <c:orientation val="minMax"/>
          <c:max val="1.1000000000000001"/>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19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T000029 - InterestRateSwap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TradeViewer!$S$9</c:f>
              <c:strCache>
                <c:ptCount val="1"/>
              </c:strCache>
            </c:strRef>
          </c:tx>
          <c:spPr>
            <a:ln w="19050" cap="rnd">
              <a:solidFill>
                <a:schemeClr val="accent1"/>
              </a:solidFill>
              <a:round/>
            </a:ln>
            <a:effectLst/>
          </c:spPr>
          <c:marker>
            <c:symbol val="none"/>
          </c:marker>
          <c:xVal>
            <c:numRef>
              <c:f>TradeViewer!$Q$10:$Q$190</c:f>
              <c:numCache>
                <c:formatCode>General</c:formatCode>
                <c:ptCount val="181"/>
              </c:numCache>
            </c:numRef>
          </c:xVal>
          <c:yVal>
            <c:numRef>
              <c:f>TradeViewer!$S$10:$S$190</c:f>
              <c:numCache>
                <c:formatCode>General</c:formatCode>
                <c:ptCount val="181"/>
              </c:numCache>
            </c:numRef>
          </c:yVal>
          <c:smooth val="0"/>
          <c:extLst>
            <c:ext xmlns:c16="http://schemas.microsoft.com/office/drawing/2014/chart" uri="{C3380CC4-5D6E-409C-BE32-E72D297353CC}">
              <c16:uniqueId val="{00000000-E0DA-4246-8E77-D29AFDB73DCC}"/>
            </c:ext>
          </c:extLst>
        </c:ser>
        <c:ser>
          <c:idx val="1"/>
          <c:order val="1"/>
          <c:tx>
            <c:strRef>
              <c:f>TradeViewer!$T$9</c:f>
              <c:strCache>
                <c:ptCount val="1"/>
              </c:strCache>
            </c:strRef>
          </c:tx>
          <c:spPr>
            <a:ln w="19050" cap="rnd">
              <a:solidFill>
                <a:schemeClr val="accent2"/>
              </a:solidFill>
              <a:round/>
            </a:ln>
            <a:effectLst/>
          </c:spPr>
          <c:marker>
            <c:symbol val="none"/>
          </c:marker>
          <c:xVal>
            <c:numRef>
              <c:f>TradeViewer!$Q$10:$Q$190</c:f>
              <c:numCache>
                <c:formatCode>General</c:formatCode>
                <c:ptCount val="181"/>
              </c:numCache>
            </c:numRef>
          </c:xVal>
          <c:yVal>
            <c:numRef>
              <c:f>TradeViewer!$T$10:$T$190</c:f>
              <c:numCache>
                <c:formatCode>General</c:formatCode>
                <c:ptCount val="181"/>
              </c:numCache>
            </c:numRef>
          </c:yVal>
          <c:smooth val="0"/>
          <c:extLst>
            <c:ext xmlns:c16="http://schemas.microsoft.com/office/drawing/2014/chart" uri="{C3380CC4-5D6E-409C-BE32-E72D297353CC}">
              <c16:uniqueId val="{00000001-E0DA-4246-8E77-D29AFDB73DCC}"/>
            </c:ext>
          </c:extLst>
        </c:ser>
        <c:ser>
          <c:idx val="2"/>
          <c:order val="2"/>
          <c:tx>
            <c:strRef>
              <c:f>TradeViewer!$U$9</c:f>
              <c:strCache>
                <c:ptCount val="1"/>
              </c:strCache>
            </c:strRef>
          </c:tx>
          <c:spPr>
            <a:ln w="19050" cap="rnd">
              <a:solidFill>
                <a:schemeClr val="accent3"/>
              </a:solidFill>
              <a:round/>
            </a:ln>
            <a:effectLst/>
          </c:spPr>
          <c:marker>
            <c:symbol val="none"/>
          </c:marker>
          <c:xVal>
            <c:numRef>
              <c:f>TradeViewer!$Q$10:$Q$190</c:f>
              <c:numCache>
                <c:formatCode>General</c:formatCode>
                <c:ptCount val="181"/>
              </c:numCache>
            </c:numRef>
          </c:xVal>
          <c:yVal>
            <c:numRef>
              <c:f>TradeViewer!$U$10:$U$190</c:f>
              <c:numCache>
                <c:formatCode>General</c:formatCode>
                <c:ptCount val="181"/>
              </c:numCache>
            </c:numRef>
          </c:yVal>
          <c:smooth val="0"/>
          <c:extLst>
            <c:ext xmlns:c16="http://schemas.microsoft.com/office/drawing/2014/chart" uri="{C3380CC4-5D6E-409C-BE32-E72D297353CC}">
              <c16:uniqueId val="{00000002-E0DA-4246-8E77-D29AFDB73DCC}"/>
            </c:ext>
          </c:extLst>
        </c:ser>
        <c:ser>
          <c:idx val="3"/>
          <c:order val="3"/>
          <c:tx>
            <c:strRef>
              <c:f>TradeViewer!$V$9</c:f>
              <c:strCache>
                <c:ptCount val="1"/>
              </c:strCache>
            </c:strRef>
          </c:tx>
          <c:spPr>
            <a:ln w="19050" cap="rnd">
              <a:solidFill>
                <a:schemeClr val="accent4"/>
              </a:solidFill>
              <a:round/>
            </a:ln>
            <a:effectLst/>
          </c:spPr>
          <c:marker>
            <c:symbol val="none"/>
          </c:marker>
          <c:xVal>
            <c:numRef>
              <c:f>TradeViewer!$Q$10:$Q$190</c:f>
              <c:numCache>
                <c:formatCode>General</c:formatCode>
                <c:ptCount val="181"/>
              </c:numCache>
            </c:numRef>
          </c:xVal>
          <c:yVal>
            <c:numRef>
              <c:f>TradeViewer!$V$10:$V$190</c:f>
              <c:numCache>
                <c:formatCode>General</c:formatCode>
                <c:ptCount val="181"/>
              </c:numCache>
            </c:numRef>
          </c:yVal>
          <c:smooth val="0"/>
          <c:extLst>
            <c:ext xmlns:c16="http://schemas.microsoft.com/office/drawing/2014/chart" uri="{C3380CC4-5D6E-409C-BE32-E72D297353CC}">
              <c16:uniqueId val="{00000003-E0DA-4246-8E77-D29AFDB73DCC}"/>
            </c:ext>
          </c:extLst>
        </c:ser>
        <c:dLbls>
          <c:showLegendKey val="0"/>
          <c:showVal val="0"/>
          <c:showCatName val="0"/>
          <c:showSerName val="0"/>
          <c:showPercent val="0"/>
          <c:showBubbleSize val="0"/>
        </c:dLbls>
        <c:axId val="352433080"/>
        <c:axId val="352433864"/>
      </c:scatterChart>
      <c:valAx>
        <c:axId val="352433080"/>
        <c:scaling>
          <c:orientation val="minMax"/>
          <c:max val="7.083333333333330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3864"/>
        <c:crosses val="autoZero"/>
        <c:crossBetween val="midCat"/>
      </c:valAx>
      <c:valAx>
        <c:axId val="352433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3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385763</xdr:colOff>
          <xdr:row>1</xdr:row>
          <xdr:rowOff>0</xdr:rowOff>
        </xdr:from>
        <xdr:to>
          <xdr:col>8</xdr:col>
          <xdr:colOff>666750</xdr:colOff>
          <xdr:row>3</xdr:row>
          <xdr:rowOff>114300</xdr:rowOff>
        </xdr:to>
        <xdr:sp macro="" textlink="">
          <xdr:nvSpPr>
            <xdr:cNvPr id="149506" name="ButtonMenu" hidden="1">
              <a:extLst>
                <a:ext uri="{63B3BB69-23CF-44E3-9099-C40C66FF867C}">
                  <a14:compatExt spid="_x0000_s149506"/>
                </a:ext>
                <a:ext uri="{FF2B5EF4-FFF2-40B4-BE49-F238E27FC236}">
                  <a16:creationId xmlns:a16="http://schemas.microsoft.com/office/drawing/2014/main" id="{00000000-0008-0000-0000-0000024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twoCellAnchor editAs="absolute">
    <xdr:from>
      <xdr:col>1</xdr:col>
      <xdr:colOff>49523</xdr:colOff>
      <xdr:row>0</xdr:row>
      <xdr:rowOff>62855</xdr:rowOff>
    </xdr:from>
    <xdr:to>
      <xdr:col>5</xdr:col>
      <xdr:colOff>15227</xdr:colOff>
      <xdr:row>4</xdr:row>
      <xdr:rowOff>4666</xdr:rowOff>
    </xdr:to>
    <xdr:pic>
      <xdr:nvPicPr>
        <xdr:cNvPr id="22" name="SolumLogo">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0498" y="62855"/>
          <a:ext cx="2551742" cy="66571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149630" name="Button 126" hidden="1">
              <a:extLst>
                <a:ext uri="{63B3BB69-23CF-44E3-9099-C40C66FF867C}">
                  <a14:compatExt spid="_x0000_s149630"/>
                </a:ext>
                <a:ext uri="{FF2B5EF4-FFF2-40B4-BE49-F238E27FC236}">
                  <a16:creationId xmlns:a16="http://schemas.microsoft.com/office/drawing/2014/main" id="{00000000-0008-0000-0000-00007E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0</xdr:colOff>
          <xdr:row>8</xdr:row>
          <xdr:rowOff>0</xdr:rowOff>
        </xdr:to>
        <xdr:sp macro="" textlink="">
          <xdr:nvSpPr>
            <xdr:cNvPr id="149631" name="Button 127" hidden="1">
              <a:extLst>
                <a:ext uri="{63B3BB69-23CF-44E3-9099-C40C66FF867C}">
                  <a14:compatExt spid="_x0000_s149631"/>
                </a:ext>
                <a:ext uri="{FF2B5EF4-FFF2-40B4-BE49-F238E27FC236}">
                  <a16:creationId xmlns:a16="http://schemas.microsoft.com/office/drawing/2014/main" id="{00000000-0008-0000-0000-00007F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149632" name="Button 128" hidden="1">
              <a:extLst>
                <a:ext uri="{63B3BB69-23CF-44E3-9099-C40C66FF867C}">
                  <a14:compatExt spid="_x0000_s149632"/>
                </a:ext>
                <a:ext uri="{FF2B5EF4-FFF2-40B4-BE49-F238E27FC236}">
                  <a16:creationId xmlns:a16="http://schemas.microsoft.com/office/drawing/2014/main" id="{00000000-0008-0000-0000-000080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149633" name="Button 129" hidden="1">
              <a:extLst>
                <a:ext uri="{63B3BB69-23CF-44E3-9099-C40C66FF867C}">
                  <a14:compatExt spid="_x0000_s149633"/>
                </a:ext>
                <a:ext uri="{FF2B5EF4-FFF2-40B4-BE49-F238E27FC236}">
                  <a16:creationId xmlns:a16="http://schemas.microsoft.com/office/drawing/2014/main" id="{00000000-0008-0000-0000-000081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149634" name="Button 130" hidden="1">
              <a:extLst>
                <a:ext uri="{63B3BB69-23CF-44E3-9099-C40C66FF867C}">
                  <a14:compatExt spid="_x0000_s149634"/>
                </a:ext>
                <a:ext uri="{FF2B5EF4-FFF2-40B4-BE49-F238E27FC236}">
                  <a16:creationId xmlns:a16="http://schemas.microsoft.com/office/drawing/2014/main" id="{00000000-0008-0000-0000-000082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0</xdr:colOff>
          <xdr:row>8</xdr:row>
          <xdr:rowOff>0</xdr:rowOff>
        </xdr:to>
        <xdr:sp macro="" textlink="">
          <xdr:nvSpPr>
            <xdr:cNvPr id="149635" name="Button 131" hidden="1">
              <a:extLst>
                <a:ext uri="{63B3BB69-23CF-44E3-9099-C40C66FF867C}">
                  <a14:compatExt spid="_x0000_s149635"/>
                </a:ext>
                <a:ext uri="{FF2B5EF4-FFF2-40B4-BE49-F238E27FC236}">
                  <a16:creationId xmlns:a16="http://schemas.microsoft.com/office/drawing/2014/main" id="{00000000-0008-0000-0000-000083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0</xdr:colOff>
          <xdr:row>8</xdr:row>
          <xdr:rowOff>0</xdr:rowOff>
        </xdr:to>
        <xdr:sp macro="" textlink="">
          <xdr:nvSpPr>
            <xdr:cNvPr id="149636" name="Button 132" hidden="1">
              <a:extLst>
                <a:ext uri="{63B3BB69-23CF-44E3-9099-C40C66FF867C}">
                  <a14:compatExt spid="_x0000_s149636"/>
                </a:ext>
                <a:ext uri="{FF2B5EF4-FFF2-40B4-BE49-F238E27FC236}">
                  <a16:creationId xmlns:a16="http://schemas.microsoft.com/office/drawing/2014/main" id="{00000000-0008-0000-0000-000084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xdr:row>
          <xdr:rowOff>0</xdr:rowOff>
        </xdr:from>
        <xdr:to>
          <xdr:col>9</xdr:col>
          <xdr:colOff>0</xdr:colOff>
          <xdr:row>8</xdr:row>
          <xdr:rowOff>0</xdr:rowOff>
        </xdr:to>
        <xdr:sp macro="" textlink="">
          <xdr:nvSpPr>
            <xdr:cNvPr id="149637" name="Button 133" hidden="1">
              <a:extLst>
                <a:ext uri="{63B3BB69-23CF-44E3-9099-C40C66FF867C}">
                  <a14:compatExt spid="_x0000_s149637"/>
                </a:ext>
                <a:ext uri="{FF2B5EF4-FFF2-40B4-BE49-F238E27FC236}">
                  <a16:creationId xmlns:a16="http://schemas.microsoft.com/office/drawing/2014/main" id="{00000000-0008-0000-0000-000085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0</xdr:colOff>
          <xdr:row>8</xdr:row>
          <xdr:rowOff>0</xdr:rowOff>
        </xdr:to>
        <xdr:sp macro="" textlink="">
          <xdr:nvSpPr>
            <xdr:cNvPr id="149638" name="Button 134" hidden="1">
              <a:extLst>
                <a:ext uri="{63B3BB69-23CF-44E3-9099-C40C66FF867C}">
                  <a14:compatExt spid="_x0000_s149638"/>
                </a:ext>
                <a:ext uri="{FF2B5EF4-FFF2-40B4-BE49-F238E27FC236}">
                  <a16:creationId xmlns:a16="http://schemas.microsoft.com/office/drawing/2014/main" id="{00000000-0008-0000-0000-000086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8</xdr:row>
          <xdr:rowOff>0</xdr:rowOff>
        </xdr:to>
        <xdr:sp macro="" textlink="">
          <xdr:nvSpPr>
            <xdr:cNvPr id="149639" name="Button 135" hidden="1">
              <a:extLst>
                <a:ext uri="{63B3BB69-23CF-44E3-9099-C40C66FF867C}">
                  <a14:compatExt spid="_x0000_s149639"/>
                </a:ext>
                <a:ext uri="{FF2B5EF4-FFF2-40B4-BE49-F238E27FC236}">
                  <a16:creationId xmlns:a16="http://schemas.microsoft.com/office/drawing/2014/main" id="{00000000-0008-0000-0000-000087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0</xdr:colOff>
          <xdr:row>8</xdr:row>
          <xdr:rowOff>0</xdr:rowOff>
        </xdr:to>
        <xdr:sp macro="" textlink="">
          <xdr:nvSpPr>
            <xdr:cNvPr id="149640" name="Button 136" hidden="1">
              <a:extLst>
                <a:ext uri="{63B3BB69-23CF-44E3-9099-C40C66FF867C}">
                  <a14:compatExt spid="_x0000_s149640"/>
                </a:ext>
                <a:ext uri="{FF2B5EF4-FFF2-40B4-BE49-F238E27FC236}">
                  <a16:creationId xmlns:a16="http://schemas.microsoft.com/office/drawing/2014/main" id="{00000000-0008-0000-0000-000088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0</xdr:colOff>
          <xdr:row>8</xdr:row>
          <xdr:rowOff>0</xdr:rowOff>
        </xdr:to>
        <xdr:sp macro="" textlink="">
          <xdr:nvSpPr>
            <xdr:cNvPr id="149641" name="Button 137" hidden="1">
              <a:extLst>
                <a:ext uri="{63B3BB69-23CF-44E3-9099-C40C66FF867C}">
                  <a14:compatExt spid="_x0000_s149641"/>
                </a:ext>
                <a:ext uri="{FF2B5EF4-FFF2-40B4-BE49-F238E27FC236}">
                  <a16:creationId xmlns:a16="http://schemas.microsoft.com/office/drawing/2014/main" id="{00000000-0008-0000-0000-000089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0</xdr:colOff>
          <xdr:row>8</xdr:row>
          <xdr:rowOff>0</xdr:rowOff>
        </xdr:to>
        <xdr:sp macro="" textlink="">
          <xdr:nvSpPr>
            <xdr:cNvPr id="149642" name="Button 138" hidden="1">
              <a:extLst>
                <a:ext uri="{63B3BB69-23CF-44E3-9099-C40C66FF867C}">
                  <a14:compatExt spid="_x0000_s149642"/>
                </a:ext>
                <a:ext uri="{FF2B5EF4-FFF2-40B4-BE49-F238E27FC236}">
                  <a16:creationId xmlns:a16="http://schemas.microsoft.com/office/drawing/2014/main" id="{00000000-0008-0000-0000-00008A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0</xdr:colOff>
          <xdr:row>8</xdr:row>
          <xdr:rowOff>0</xdr:rowOff>
        </xdr:to>
        <xdr:sp macro="" textlink="">
          <xdr:nvSpPr>
            <xdr:cNvPr id="149643" name="Button 139" hidden="1">
              <a:extLst>
                <a:ext uri="{63B3BB69-23CF-44E3-9099-C40C66FF867C}">
                  <a14:compatExt spid="_x0000_s149643"/>
                </a:ext>
                <a:ext uri="{FF2B5EF4-FFF2-40B4-BE49-F238E27FC236}">
                  <a16:creationId xmlns:a16="http://schemas.microsoft.com/office/drawing/2014/main" id="{00000000-0008-0000-0000-00008B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0</xdr:colOff>
          <xdr:row>8</xdr:row>
          <xdr:rowOff>0</xdr:rowOff>
        </xdr:to>
        <xdr:sp macro="" textlink="">
          <xdr:nvSpPr>
            <xdr:cNvPr id="149644" name="Button 140" hidden="1">
              <a:extLst>
                <a:ext uri="{63B3BB69-23CF-44E3-9099-C40C66FF867C}">
                  <a14:compatExt spid="_x0000_s149644"/>
                </a:ext>
                <a:ext uri="{FF2B5EF4-FFF2-40B4-BE49-F238E27FC236}">
                  <a16:creationId xmlns:a16="http://schemas.microsoft.com/office/drawing/2014/main" id="{00000000-0008-0000-0000-00008C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0</xdr:colOff>
          <xdr:row>8</xdr:row>
          <xdr:rowOff>0</xdr:rowOff>
        </xdr:to>
        <xdr:sp macro="" textlink="">
          <xdr:nvSpPr>
            <xdr:cNvPr id="149645" name="Button 141" hidden="1">
              <a:extLst>
                <a:ext uri="{63B3BB69-23CF-44E3-9099-C40C66FF867C}">
                  <a14:compatExt spid="_x0000_s149645"/>
                </a:ext>
                <a:ext uri="{FF2B5EF4-FFF2-40B4-BE49-F238E27FC236}">
                  <a16:creationId xmlns:a16="http://schemas.microsoft.com/office/drawing/2014/main" id="{00000000-0008-0000-0000-00008D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0</xdr:colOff>
          <xdr:row>8</xdr:row>
          <xdr:rowOff>0</xdr:rowOff>
        </xdr:to>
        <xdr:sp macro="" textlink="">
          <xdr:nvSpPr>
            <xdr:cNvPr id="149646" name="Button 142" hidden="1">
              <a:extLst>
                <a:ext uri="{63B3BB69-23CF-44E3-9099-C40C66FF867C}">
                  <a14:compatExt spid="_x0000_s149646"/>
                </a:ext>
                <a:ext uri="{FF2B5EF4-FFF2-40B4-BE49-F238E27FC236}">
                  <a16:creationId xmlns:a16="http://schemas.microsoft.com/office/drawing/2014/main" id="{00000000-0008-0000-0000-00008E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19</xdr:col>
          <xdr:colOff>0</xdr:colOff>
          <xdr:row>8</xdr:row>
          <xdr:rowOff>0</xdr:rowOff>
        </xdr:to>
        <xdr:sp macro="" textlink="">
          <xdr:nvSpPr>
            <xdr:cNvPr id="149647" name="Button 143" hidden="1">
              <a:extLst>
                <a:ext uri="{63B3BB69-23CF-44E3-9099-C40C66FF867C}">
                  <a14:compatExt spid="_x0000_s149647"/>
                </a:ext>
                <a:ext uri="{FF2B5EF4-FFF2-40B4-BE49-F238E27FC236}">
                  <a16:creationId xmlns:a16="http://schemas.microsoft.com/office/drawing/2014/main" id="{00000000-0008-0000-0000-00008F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0</xdr:colOff>
          <xdr:row>8</xdr:row>
          <xdr:rowOff>0</xdr:rowOff>
        </xdr:to>
        <xdr:sp macro="" textlink="">
          <xdr:nvSpPr>
            <xdr:cNvPr id="149648" name="Button 144" hidden="1">
              <a:extLst>
                <a:ext uri="{63B3BB69-23CF-44E3-9099-C40C66FF867C}">
                  <a14:compatExt spid="_x0000_s149648"/>
                </a:ext>
                <a:ext uri="{FF2B5EF4-FFF2-40B4-BE49-F238E27FC236}">
                  <a16:creationId xmlns:a16="http://schemas.microsoft.com/office/drawing/2014/main" id="{00000000-0008-0000-0000-000090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0</xdr:colOff>
          <xdr:row>8</xdr:row>
          <xdr:rowOff>0</xdr:rowOff>
        </xdr:to>
        <xdr:sp macro="" textlink="">
          <xdr:nvSpPr>
            <xdr:cNvPr id="149649" name="Button 145" hidden="1">
              <a:extLst>
                <a:ext uri="{63B3BB69-23CF-44E3-9099-C40C66FF867C}">
                  <a14:compatExt spid="_x0000_s149649"/>
                </a:ext>
                <a:ext uri="{FF2B5EF4-FFF2-40B4-BE49-F238E27FC236}">
                  <a16:creationId xmlns:a16="http://schemas.microsoft.com/office/drawing/2014/main" id="{00000000-0008-0000-0000-000091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0</xdr:colOff>
          <xdr:row>8</xdr:row>
          <xdr:rowOff>0</xdr:rowOff>
        </xdr:to>
        <xdr:sp macro="" textlink="">
          <xdr:nvSpPr>
            <xdr:cNvPr id="149650" name="Button 146" hidden="1">
              <a:extLst>
                <a:ext uri="{63B3BB69-23CF-44E3-9099-C40C66FF867C}">
                  <a14:compatExt spid="_x0000_s149650"/>
                </a:ext>
                <a:ext uri="{FF2B5EF4-FFF2-40B4-BE49-F238E27FC236}">
                  <a16:creationId xmlns:a16="http://schemas.microsoft.com/office/drawing/2014/main" id="{00000000-0008-0000-0000-000092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7</xdr:row>
          <xdr:rowOff>0</xdr:rowOff>
        </xdr:from>
        <xdr:to>
          <xdr:col>23</xdr:col>
          <xdr:colOff>0</xdr:colOff>
          <xdr:row>8</xdr:row>
          <xdr:rowOff>0</xdr:rowOff>
        </xdr:to>
        <xdr:sp macro="" textlink="">
          <xdr:nvSpPr>
            <xdr:cNvPr id="149651" name="Button 147" hidden="1">
              <a:extLst>
                <a:ext uri="{63B3BB69-23CF-44E3-9099-C40C66FF867C}">
                  <a14:compatExt spid="_x0000_s149651"/>
                </a:ext>
                <a:ext uri="{FF2B5EF4-FFF2-40B4-BE49-F238E27FC236}">
                  <a16:creationId xmlns:a16="http://schemas.microsoft.com/office/drawing/2014/main" id="{00000000-0008-0000-0000-0000934802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295275</xdr:colOff>
          <xdr:row>1</xdr:row>
          <xdr:rowOff>0</xdr:rowOff>
        </xdr:from>
        <xdr:to>
          <xdr:col>7</xdr:col>
          <xdr:colOff>500062</xdr:colOff>
          <xdr:row>3</xdr:row>
          <xdr:rowOff>114300</xdr:rowOff>
        </xdr:to>
        <xdr:sp macro="" textlink="">
          <xdr:nvSpPr>
            <xdr:cNvPr id="58369" name="ButtonMenu" hidden="1">
              <a:extLst>
                <a:ext uri="{63B3BB69-23CF-44E3-9099-C40C66FF867C}">
                  <a14:compatExt spid="_x0000_s58369"/>
                </a:ext>
                <a:ext uri="{FF2B5EF4-FFF2-40B4-BE49-F238E27FC236}">
                  <a16:creationId xmlns:a16="http://schemas.microsoft.com/office/drawing/2014/main" id="{00000000-0008-0000-0100-000001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twoCellAnchor editAs="absolute">
    <xdr:from>
      <xdr:col>1</xdr:col>
      <xdr:colOff>49523</xdr:colOff>
      <xdr:row>0</xdr:row>
      <xdr:rowOff>62855</xdr:rowOff>
    </xdr:from>
    <xdr:to>
      <xdr:col>4</xdr:col>
      <xdr:colOff>299671</xdr:colOff>
      <xdr:row>4</xdr:row>
      <xdr:rowOff>4666</xdr:rowOff>
    </xdr:to>
    <xdr:pic>
      <xdr:nvPicPr>
        <xdr:cNvPr id="22" name="SolumLogo">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0498" y="62855"/>
          <a:ext cx="2698073" cy="66571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58407" name="Button 39" hidden="1">
              <a:extLst>
                <a:ext uri="{63B3BB69-23CF-44E3-9099-C40C66FF867C}">
                  <a14:compatExt spid="_x0000_s58407"/>
                </a:ext>
                <a:ext uri="{FF2B5EF4-FFF2-40B4-BE49-F238E27FC236}">
                  <a16:creationId xmlns:a16="http://schemas.microsoft.com/office/drawing/2014/main" id="{00000000-0008-0000-0100-000027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0</xdr:colOff>
          <xdr:row>8</xdr:row>
          <xdr:rowOff>0</xdr:rowOff>
        </xdr:to>
        <xdr:sp macro="" textlink="">
          <xdr:nvSpPr>
            <xdr:cNvPr id="58408" name="Button 40" hidden="1">
              <a:extLst>
                <a:ext uri="{63B3BB69-23CF-44E3-9099-C40C66FF867C}">
                  <a14:compatExt spid="_x0000_s58408"/>
                </a:ext>
                <a:ext uri="{FF2B5EF4-FFF2-40B4-BE49-F238E27FC236}">
                  <a16:creationId xmlns:a16="http://schemas.microsoft.com/office/drawing/2014/main" id="{00000000-0008-0000-0100-000028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58409" name="Button 41" hidden="1">
              <a:extLst>
                <a:ext uri="{63B3BB69-23CF-44E3-9099-C40C66FF867C}">
                  <a14:compatExt spid="_x0000_s58409"/>
                </a:ext>
                <a:ext uri="{FF2B5EF4-FFF2-40B4-BE49-F238E27FC236}">
                  <a16:creationId xmlns:a16="http://schemas.microsoft.com/office/drawing/2014/main" id="{00000000-0008-0000-0100-000029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58410" name="Button 42" hidden="1">
              <a:extLst>
                <a:ext uri="{63B3BB69-23CF-44E3-9099-C40C66FF867C}">
                  <a14:compatExt spid="_x0000_s58410"/>
                </a:ext>
                <a:ext uri="{FF2B5EF4-FFF2-40B4-BE49-F238E27FC236}">
                  <a16:creationId xmlns:a16="http://schemas.microsoft.com/office/drawing/2014/main" id="{00000000-0008-0000-0100-00002A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58411" name="Button 43" hidden="1">
              <a:extLst>
                <a:ext uri="{63B3BB69-23CF-44E3-9099-C40C66FF867C}">
                  <a14:compatExt spid="_x0000_s58411"/>
                </a:ext>
                <a:ext uri="{FF2B5EF4-FFF2-40B4-BE49-F238E27FC236}">
                  <a16:creationId xmlns:a16="http://schemas.microsoft.com/office/drawing/2014/main" id="{00000000-0008-0000-0100-00002B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0</xdr:colOff>
          <xdr:row>8</xdr:row>
          <xdr:rowOff>0</xdr:rowOff>
        </xdr:to>
        <xdr:sp macro="" textlink="">
          <xdr:nvSpPr>
            <xdr:cNvPr id="58412" name="Button 44" hidden="1">
              <a:extLst>
                <a:ext uri="{63B3BB69-23CF-44E3-9099-C40C66FF867C}">
                  <a14:compatExt spid="_x0000_s58412"/>
                </a:ext>
                <a:ext uri="{FF2B5EF4-FFF2-40B4-BE49-F238E27FC236}">
                  <a16:creationId xmlns:a16="http://schemas.microsoft.com/office/drawing/2014/main" id="{00000000-0008-0000-0100-00002C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0</xdr:colOff>
          <xdr:row>8</xdr:row>
          <xdr:rowOff>0</xdr:rowOff>
        </xdr:to>
        <xdr:sp macro="" textlink="">
          <xdr:nvSpPr>
            <xdr:cNvPr id="58413" name="Button 45" hidden="1">
              <a:extLst>
                <a:ext uri="{63B3BB69-23CF-44E3-9099-C40C66FF867C}">
                  <a14:compatExt spid="_x0000_s58413"/>
                </a:ext>
                <a:ext uri="{FF2B5EF4-FFF2-40B4-BE49-F238E27FC236}">
                  <a16:creationId xmlns:a16="http://schemas.microsoft.com/office/drawing/2014/main" id="{00000000-0008-0000-0100-00002D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xdr:row>
          <xdr:rowOff>0</xdr:rowOff>
        </xdr:from>
        <xdr:to>
          <xdr:col>9</xdr:col>
          <xdr:colOff>0</xdr:colOff>
          <xdr:row>8</xdr:row>
          <xdr:rowOff>0</xdr:rowOff>
        </xdr:to>
        <xdr:sp macro="" textlink="">
          <xdr:nvSpPr>
            <xdr:cNvPr id="58414" name="Button 46" hidden="1">
              <a:extLst>
                <a:ext uri="{63B3BB69-23CF-44E3-9099-C40C66FF867C}">
                  <a14:compatExt spid="_x0000_s58414"/>
                </a:ext>
                <a:ext uri="{FF2B5EF4-FFF2-40B4-BE49-F238E27FC236}">
                  <a16:creationId xmlns:a16="http://schemas.microsoft.com/office/drawing/2014/main" id="{00000000-0008-0000-0100-00002E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0</xdr:colOff>
          <xdr:row>8</xdr:row>
          <xdr:rowOff>0</xdr:rowOff>
        </xdr:to>
        <xdr:sp macro="" textlink="">
          <xdr:nvSpPr>
            <xdr:cNvPr id="58415" name="Button 47" hidden="1">
              <a:extLst>
                <a:ext uri="{63B3BB69-23CF-44E3-9099-C40C66FF867C}">
                  <a14:compatExt spid="_x0000_s58415"/>
                </a:ext>
                <a:ext uri="{FF2B5EF4-FFF2-40B4-BE49-F238E27FC236}">
                  <a16:creationId xmlns:a16="http://schemas.microsoft.com/office/drawing/2014/main" id="{00000000-0008-0000-0100-00002F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8</xdr:row>
          <xdr:rowOff>0</xdr:rowOff>
        </xdr:to>
        <xdr:sp macro="" textlink="">
          <xdr:nvSpPr>
            <xdr:cNvPr id="58416" name="Button 48" hidden="1">
              <a:extLst>
                <a:ext uri="{63B3BB69-23CF-44E3-9099-C40C66FF867C}">
                  <a14:compatExt spid="_x0000_s58416"/>
                </a:ext>
                <a:ext uri="{FF2B5EF4-FFF2-40B4-BE49-F238E27FC236}">
                  <a16:creationId xmlns:a16="http://schemas.microsoft.com/office/drawing/2014/main" id="{00000000-0008-0000-0100-000030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0</xdr:colOff>
          <xdr:row>8</xdr:row>
          <xdr:rowOff>0</xdr:rowOff>
        </xdr:to>
        <xdr:sp macro="" textlink="">
          <xdr:nvSpPr>
            <xdr:cNvPr id="58417" name="Button 49" hidden="1">
              <a:extLst>
                <a:ext uri="{63B3BB69-23CF-44E3-9099-C40C66FF867C}">
                  <a14:compatExt spid="_x0000_s58417"/>
                </a:ext>
                <a:ext uri="{FF2B5EF4-FFF2-40B4-BE49-F238E27FC236}">
                  <a16:creationId xmlns:a16="http://schemas.microsoft.com/office/drawing/2014/main" id="{00000000-0008-0000-0100-000031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0</xdr:colOff>
          <xdr:row>8</xdr:row>
          <xdr:rowOff>0</xdr:rowOff>
        </xdr:to>
        <xdr:sp macro="" textlink="">
          <xdr:nvSpPr>
            <xdr:cNvPr id="58418" name="Button 50" hidden="1">
              <a:extLst>
                <a:ext uri="{63B3BB69-23CF-44E3-9099-C40C66FF867C}">
                  <a14:compatExt spid="_x0000_s58418"/>
                </a:ext>
                <a:ext uri="{FF2B5EF4-FFF2-40B4-BE49-F238E27FC236}">
                  <a16:creationId xmlns:a16="http://schemas.microsoft.com/office/drawing/2014/main" id="{00000000-0008-0000-0100-000032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0</xdr:colOff>
          <xdr:row>8</xdr:row>
          <xdr:rowOff>0</xdr:rowOff>
        </xdr:to>
        <xdr:sp macro="" textlink="">
          <xdr:nvSpPr>
            <xdr:cNvPr id="58419" name="Button 51" hidden="1">
              <a:extLst>
                <a:ext uri="{63B3BB69-23CF-44E3-9099-C40C66FF867C}">
                  <a14:compatExt spid="_x0000_s58419"/>
                </a:ext>
                <a:ext uri="{FF2B5EF4-FFF2-40B4-BE49-F238E27FC236}">
                  <a16:creationId xmlns:a16="http://schemas.microsoft.com/office/drawing/2014/main" id="{00000000-0008-0000-0100-000033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0</xdr:colOff>
          <xdr:row>8</xdr:row>
          <xdr:rowOff>0</xdr:rowOff>
        </xdr:to>
        <xdr:sp macro="" textlink="">
          <xdr:nvSpPr>
            <xdr:cNvPr id="58420" name="Button 52" hidden="1">
              <a:extLst>
                <a:ext uri="{63B3BB69-23CF-44E3-9099-C40C66FF867C}">
                  <a14:compatExt spid="_x0000_s58420"/>
                </a:ext>
                <a:ext uri="{FF2B5EF4-FFF2-40B4-BE49-F238E27FC236}">
                  <a16:creationId xmlns:a16="http://schemas.microsoft.com/office/drawing/2014/main" id="{00000000-0008-0000-0100-000034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0</xdr:colOff>
          <xdr:row>8</xdr:row>
          <xdr:rowOff>0</xdr:rowOff>
        </xdr:to>
        <xdr:sp macro="" textlink="">
          <xdr:nvSpPr>
            <xdr:cNvPr id="58421" name="Button 53" hidden="1">
              <a:extLst>
                <a:ext uri="{63B3BB69-23CF-44E3-9099-C40C66FF867C}">
                  <a14:compatExt spid="_x0000_s58421"/>
                </a:ext>
                <a:ext uri="{FF2B5EF4-FFF2-40B4-BE49-F238E27FC236}">
                  <a16:creationId xmlns:a16="http://schemas.microsoft.com/office/drawing/2014/main" id="{00000000-0008-0000-0100-000035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0</xdr:colOff>
          <xdr:row>8</xdr:row>
          <xdr:rowOff>0</xdr:rowOff>
        </xdr:to>
        <xdr:sp macro="" textlink="">
          <xdr:nvSpPr>
            <xdr:cNvPr id="58422" name="Button 54" hidden="1">
              <a:extLst>
                <a:ext uri="{63B3BB69-23CF-44E3-9099-C40C66FF867C}">
                  <a14:compatExt spid="_x0000_s58422"/>
                </a:ext>
                <a:ext uri="{FF2B5EF4-FFF2-40B4-BE49-F238E27FC236}">
                  <a16:creationId xmlns:a16="http://schemas.microsoft.com/office/drawing/2014/main" id="{00000000-0008-0000-0100-000036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0</xdr:colOff>
          <xdr:row>8</xdr:row>
          <xdr:rowOff>0</xdr:rowOff>
        </xdr:to>
        <xdr:sp macro="" textlink="">
          <xdr:nvSpPr>
            <xdr:cNvPr id="58423" name="Button 55" hidden="1">
              <a:extLst>
                <a:ext uri="{63B3BB69-23CF-44E3-9099-C40C66FF867C}">
                  <a14:compatExt spid="_x0000_s58423"/>
                </a:ext>
                <a:ext uri="{FF2B5EF4-FFF2-40B4-BE49-F238E27FC236}">
                  <a16:creationId xmlns:a16="http://schemas.microsoft.com/office/drawing/2014/main" id="{00000000-0008-0000-0100-000037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19</xdr:col>
          <xdr:colOff>0</xdr:colOff>
          <xdr:row>8</xdr:row>
          <xdr:rowOff>0</xdr:rowOff>
        </xdr:to>
        <xdr:sp macro="" textlink="">
          <xdr:nvSpPr>
            <xdr:cNvPr id="58424" name="Button 56" hidden="1">
              <a:extLst>
                <a:ext uri="{63B3BB69-23CF-44E3-9099-C40C66FF867C}">
                  <a14:compatExt spid="_x0000_s58424"/>
                </a:ext>
                <a:ext uri="{FF2B5EF4-FFF2-40B4-BE49-F238E27FC236}">
                  <a16:creationId xmlns:a16="http://schemas.microsoft.com/office/drawing/2014/main" id="{00000000-0008-0000-0100-000038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0</xdr:colOff>
          <xdr:row>8</xdr:row>
          <xdr:rowOff>0</xdr:rowOff>
        </xdr:to>
        <xdr:sp macro="" textlink="">
          <xdr:nvSpPr>
            <xdr:cNvPr id="58425" name="Button 57" hidden="1">
              <a:extLst>
                <a:ext uri="{63B3BB69-23CF-44E3-9099-C40C66FF867C}">
                  <a14:compatExt spid="_x0000_s58425"/>
                </a:ext>
                <a:ext uri="{FF2B5EF4-FFF2-40B4-BE49-F238E27FC236}">
                  <a16:creationId xmlns:a16="http://schemas.microsoft.com/office/drawing/2014/main" id="{00000000-0008-0000-0100-000039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0</xdr:colOff>
          <xdr:row>8</xdr:row>
          <xdr:rowOff>0</xdr:rowOff>
        </xdr:to>
        <xdr:sp macro="" textlink="">
          <xdr:nvSpPr>
            <xdr:cNvPr id="58426" name="Button 58" hidden="1">
              <a:extLst>
                <a:ext uri="{63B3BB69-23CF-44E3-9099-C40C66FF867C}">
                  <a14:compatExt spid="_x0000_s58426"/>
                </a:ext>
                <a:ext uri="{FF2B5EF4-FFF2-40B4-BE49-F238E27FC236}">
                  <a16:creationId xmlns:a16="http://schemas.microsoft.com/office/drawing/2014/main" id="{00000000-0008-0000-0100-00003A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0</xdr:colOff>
          <xdr:row>8</xdr:row>
          <xdr:rowOff>0</xdr:rowOff>
        </xdr:to>
        <xdr:sp macro="" textlink="">
          <xdr:nvSpPr>
            <xdr:cNvPr id="58427" name="Button 59" hidden="1">
              <a:extLst>
                <a:ext uri="{63B3BB69-23CF-44E3-9099-C40C66FF867C}">
                  <a14:compatExt spid="_x0000_s58427"/>
                </a:ext>
                <a:ext uri="{FF2B5EF4-FFF2-40B4-BE49-F238E27FC236}">
                  <a16:creationId xmlns:a16="http://schemas.microsoft.com/office/drawing/2014/main" id="{00000000-0008-0000-0100-00003BE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1181100</xdr:colOff>
          <xdr:row>0</xdr:row>
          <xdr:rowOff>0</xdr:rowOff>
        </xdr:from>
        <xdr:to>
          <xdr:col>10</xdr:col>
          <xdr:colOff>900113</xdr:colOff>
          <xdr:row>0</xdr:row>
          <xdr:rowOff>290513</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 Cell Formatting!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171449</xdr:colOff>
      <xdr:row>7</xdr:row>
      <xdr:rowOff>190499</xdr:rowOff>
    </xdr:from>
    <xdr:to>
      <xdr:col>10</xdr:col>
      <xdr:colOff>295274</xdr:colOff>
      <xdr:row>33</xdr:row>
      <xdr:rowOff>9524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49523</xdr:colOff>
      <xdr:row>0</xdr:row>
      <xdr:rowOff>62855</xdr:rowOff>
    </xdr:from>
    <xdr:to>
      <xdr:col>3</xdr:col>
      <xdr:colOff>264073</xdr:colOff>
      <xdr:row>3</xdr:row>
      <xdr:rowOff>157066</xdr:rowOff>
    </xdr:to>
    <xdr:pic>
      <xdr:nvPicPr>
        <xdr:cNvPr id="5" name="Solum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0498" y="62855"/>
          <a:ext cx="2381488" cy="66571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49522</xdr:colOff>
      <xdr:row>0</xdr:row>
      <xdr:rowOff>62855</xdr:rowOff>
    </xdr:from>
    <xdr:to>
      <xdr:col>4</xdr:col>
      <xdr:colOff>315761</xdr:colOff>
      <xdr:row>3</xdr:row>
      <xdr:rowOff>157066</xdr:rowOff>
    </xdr:to>
    <xdr:pic>
      <xdr:nvPicPr>
        <xdr:cNvPr id="6" name="Solum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0497" y="62855"/>
          <a:ext cx="2385552" cy="665711"/>
        </a:xfrm>
        <a:prstGeom prst="rect">
          <a:avLst/>
        </a:prstGeom>
      </xdr:spPr>
    </xdr:pic>
    <xdr:clientData/>
  </xdr:twoCellAnchor>
  <xdr:twoCellAnchor editAs="absolute">
    <xdr:from>
      <xdr:col>0</xdr:col>
      <xdr:colOff>171449</xdr:colOff>
      <xdr:row>7</xdr:row>
      <xdr:rowOff>190499</xdr:rowOff>
    </xdr:from>
    <xdr:to>
      <xdr:col>11</xdr:col>
      <xdr:colOff>962024</xdr:colOff>
      <xdr:row>33</xdr:row>
      <xdr:rowOff>9524</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3</xdr:col>
          <xdr:colOff>257175</xdr:colOff>
          <xdr:row>3</xdr:row>
          <xdr:rowOff>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700-000001B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AuditMenu"/>
      <definedName name="SAISortButtonOnAction"/>
      <definedName name="SAISortButtonOnAction 2 "/>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2" Type="http://schemas.openxmlformats.org/officeDocument/2006/relationships/drawing" Target="../drawings/drawing2.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2.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Portfolio">
    <pageSetUpPr autoPageBreaks="0"/>
  </sheetPr>
  <dimension ref="B1:X11"/>
  <sheetViews>
    <sheetView showGridLines="0" showRowColHeaders="0" tabSelected="1" zoomScaleNormal="100" workbookViewId="0">
      <pane ySplit="10" topLeftCell="A11" activePane="bottomLeft" state="frozen"/>
      <selection pane="bottomLeft"/>
    </sheetView>
  </sheetViews>
  <sheetFormatPr defaultColWidth="9.1328125" defaultRowHeight="14.25" x14ac:dyDescent="0.45"/>
  <cols>
    <col min="1" max="1" width="2.53125" style="16" customWidth="1"/>
    <col min="2" max="2" width="8" style="16" customWidth="1"/>
    <col min="3" max="3" width="10.19921875" style="16" customWidth="1"/>
    <col min="4" max="4" width="9.3984375" style="16" customWidth="1"/>
    <col min="5" max="5" width="8.59765625" style="16" customWidth="1"/>
    <col min="6" max="6" width="5.3984375" style="16" customWidth="1"/>
    <col min="7" max="7" width="9.73046875" style="16" customWidth="1"/>
    <col min="8" max="8" width="6.3984375" style="16" customWidth="1"/>
    <col min="9" max="9" width="9.796875" style="16" customWidth="1"/>
    <col min="10" max="10" width="6.33203125" style="16" customWidth="1"/>
    <col min="11" max="11" width="5.796875" style="16" customWidth="1"/>
    <col min="12" max="12" width="6" style="16" customWidth="1"/>
    <col min="13" max="13" width="5.3984375" style="16" customWidth="1"/>
    <col min="14" max="14" width="9.73046875" style="16" customWidth="1"/>
    <col min="15" max="15" width="6.3984375" style="16" customWidth="1"/>
    <col min="16" max="16" width="9.796875" style="16" customWidth="1"/>
    <col min="17" max="17" width="6.33203125" style="16" customWidth="1"/>
    <col min="18" max="18" width="5.796875" style="16" customWidth="1"/>
    <col min="19" max="19" width="6" style="16" customWidth="1"/>
    <col min="20" max="20" width="13.59765625" style="16" customWidth="1"/>
    <col min="21" max="21" width="6.59765625" style="16" customWidth="1"/>
    <col min="22" max="23" width="12.59765625" style="16" customWidth="1"/>
    <col min="24" max="29" width="12.53125" style="16" bestFit="1" customWidth="1"/>
    <col min="30" max="16384" width="9.1328125" style="16"/>
  </cols>
  <sheetData>
    <row r="1" spans="2:24" x14ac:dyDescent="0.45">
      <c r="W1" s="73"/>
    </row>
    <row r="4" spans="2:24" x14ac:dyDescent="0.45">
      <c r="B4" s="47"/>
      <c r="H4"/>
      <c r="I4"/>
    </row>
    <row r="5" spans="2:24" ht="23.25" x14ac:dyDescent="0.7">
      <c r="B5" s="18" t="s">
        <v>3</v>
      </c>
      <c r="E5" s="47"/>
    </row>
    <row r="6" spans="2:24" x14ac:dyDescent="0.45">
      <c r="B6" s="63" t="s">
        <v>1002</v>
      </c>
      <c r="D6" s="48" t="s">
        <v>202</v>
      </c>
      <c r="E6" s="47"/>
      <c r="T6" s="48"/>
      <c r="U6"/>
      <c r="W6" s="75">
        <f ca="1">IF(NbTrades=0,0,SUM(OFFSET(W10,1,0,NbTrades,1)))</f>
        <v>0</v>
      </c>
    </row>
    <row r="7" spans="2:24" x14ac:dyDescent="0.45">
      <c r="B7" s="62"/>
      <c r="C7" s="62"/>
      <c r="D7" s="62"/>
      <c r="E7" s="62"/>
      <c r="F7" s="62"/>
      <c r="G7" s="62"/>
      <c r="H7" s="62"/>
      <c r="I7" s="62"/>
      <c r="J7" s="62"/>
      <c r="K7" s="62"/>
      <c r="L7" s="62"/>
      <c r="M7" s="62"/>
      <c r="N7" s="62"/>
      <c r="O7" s="62"/>
      <c r="P7" s="62"/>
      <c r="Q7" s="62"/>
      <c r="R7" s="62"/>
      <c r="S7" s="62"/>
      <c r="T7" s="62"/>
      <c r="U7" s="62"/>
      <c r="V7" s="62"/>
      <c r="W7" s="62"/>
      <c r="X7"/>
    </row>
    <row r="8" spans="2:24" x14ac:dyDescent="0.45">
      <c r="B8" s="24"/>
      <c r="C8" s="49">
        <v>0</v>
      </c>
      <c r="V8" s="74"/>
      <c r="W8" s="74"/>
    </row>
    <row r="9" spans="2:24" ht="20.25" customHeight="1" x14ac:dyDescent="0.45">
      <c r="B9" s="28"/>
      <c r="C9" s="29"/>
      <c r="D9" s="29"/>
      <c r="E9" s="29"/>
      <c r="F9" s="102" t="s">
        <v>641</v>
      </c>
      <c r="G9" s="103"/>
      <c r="H9" s="103"/>
      <c r="I9" s="103"/>
      <c r="J9" s="103"/>
      <c r="K9" s="103"/>
      <c r="L9" s="103"/>
      <c r="M9" s="102" t="s">
        <v>642</v>
      </c>
      <c r="N9" s="103"/>
      <c r="O9" s="103"/>
      <c r="P9" s="103"/>
      <c r="Q9" s="103"/>
      <c r="R9" s="103"/>
      <c r="S9" s="103"/>
      <c r="T9" s="107"/>
      <c r="U9" s="109" t="s">
        <v>643</v>
      </c>
      <c r="V9" s="104"/>
      <c r="W9" s="108"/>
    </row>
    <row r="10" spans="2:24" ht="20.25" customHeight="1" x14ac:dyDescent="0.45">
      <c r="B10" s="27" t="s">
        <v>4</v>
      </c>
      <c r="C10" s="27" t="s">
        <v>5</v>
      </c>
      <c r="D10" s="27" t="s">
        <v>6</v>
      </c>
      <c r="E10" s="27" t="s">
        <v>7</v>
      </c>
      <c r="F10" s="98" t="s">
        <v>16</v>
      </c>
      <c r="G10" s="98" t="s">
        <v>17</v>
      </c>
      <c r="H10" s="100" t="s">
        <v>15</v>
      </c>
      <c r="I10" s="101" t="s">
        <v>897</v>
      </c>
      <c r="J10" s="98" t="s">
        <v>18</v>
      </c>
      <c r="K10" s="98" t="s">
        <v>333</v>
      </c>
      <c r="L10" s="98" t="s">
        <v>334</v>
      </c>
      <c r="M10" s="98" t="s">
        <v>19</v>
      </c>
      <c r="N10" s="98" t="s">
        <v>20</v>
      </c>
      <c r="O10" s="100" t="s">
        <v>21</v>
      </c>
      <c r="P10" s="101" t="s">
        <v>898</v>
      </c>
      <c r="Q10" s="105" t="s">
        <v>22</v>
      </c>
      <c r="R10" s="101" t="s">
        <v>335</v>
      </c>
      <c r="S10" s="106" t="s">
        <v>336</v>
      </c>
      <c r="T10" s="123" t="s">
        <v>32</v>
      </c>
      <c r="U10" s="124" t="s">
        <v>14</v>
      </c>
      <c r="V10" s="125" t="s">
        <v>23</v>
      </c>
      <c r="W10" s="123" t="s">
        <v>133</v>
      </c>
    </row>
    <row r="11" spans="2:24" x14ac:dyDescent="0.45">
      <c r="C11" s="158" t="s">
        <v>914</v>
      </c>
    </row>
  </sheetData>
  <sheetProtection sheet="1" objects="1" scenarios="1"/>
  <dataValidations xWindow="469" yWindow="488" count="22">
    <dataValidation allowBlank="1" showInputMessage="1" showErrorMessage="1" promptTitle="Trade ID" prompt="_x000a_Filter trades by entering text. Double-click for more options." sqref="B7" xr:uid="{A98F6244-5F99-41C2-8F0E-06B39B771B6B}"/>
    <dataValidation allowBlank="1" showInputMessage="1" showErrorMessage="1" promptTitle="Trade Type" prompt="_x000a_Filter trades by entering text. Double-click for more options." sqref="C7" xr:uid="{EBEBAECC-2214-4C4F-82F2-3147EA908739}"/>
    <dataValidation allowBlank="1" showInputMessage="1" showErrorMessage="1" promptTitle="Start Date" prompt="_x000a_Filter trades by entering text. Double-click for more options." sqref="D7" xr:uid="{B11BDB41-BC6A-4E94-ADAA-C0292447061A}"/>
    <dataValidation allowBlank="1" showInputMessage="1" showErrorMessage="1" promptTitle="End Date" prompt="_x000a_Filter trades by entering text. Double-click for more options." sqref="E7" xr:uid="{2A2E1619-FE10-4354-BE9A-5B634A3BBDC9}"/>
    <dataValidation allowBlank="1" showInputMessage="1" showErrorMessage="1" promptTitle="Ccy 1" prompt="_x000a_Filter trades by entering text. Double-click for more options." sqref="F7" xr:uid="{787FA935-E61E-454C-8030-0EDE7383BB32}"/>
    <dataValidation allowBlank="1" showInputMessage="1" showErrorMessage="1" promptTitle="Notional 1" prompt="_x000a_Filter trades by entering text. Double-click for more options." sqref="G7" xr:uid="{467FC973-DC2C-4E25-9B6A-426D54311CF0}"/>
    <dataValidation allowBlank="1" showInputMessage="1" showErrorMessage="1" promptTitle="Rate 1" prompt="_x000a_Filter trades by entering text. Double-click for more options." sqref="H7" xr:uid="{0BBCFD91-7B1C-4F23-A2EB-F2EFD323108F}"/>
    <dataValidation allowBlank="1" showInputMessage="1" showErrorMessage="1" promptTitle="Leg Type 1" prompt="_x000a_Filter trades by entering text. Double-click for more options." sqref="I7" xr:uid="{320F40F7-7C4F-4336-9C4F-30497393E7EA}"/>
    <dataValidation allowBlank="1" showInputMessage="1" showErrorMessage="1" promptTitle="Freq 1" prompt="_x000a_Filter trades by entering text. Double-click for more options." sqref="J7" xr:uid="{E14A49DF-A8AD-4217-AF65-A204BCE6F8D4}"/>
    <dataValidation allowBlank="1" showInputMessage="1" showErrorMessage="1" promptTitle="DCT 1" prompt="_x000a_Filter trades by entering text. Double-click for more options." sqref="K7" xr:uid="{62F908B1-323F-4FF9-946A-9409049A0F9D}"/>
    <dataValidation allowBlank="1" showInputMessage="1" showErrorMessage="1" promptTitle="BDC 1" prompt="_x000a_Filter trades by entering text. Double-click for more options." sqref="L7" xr:uid="{0A8B3ABC-C88A-4E5C-AF5B-66C51CC3B8B5}"/>
    <dataValidation allowBlank="1" showInputMessage="1" showErrorMessage="1" promptTitle="Ccy 2" prompt="_x000a_Filter trades by entering text. Double-click for more options." sqref="M7" xr:uid="{368647A3-82E3-4297-B865-C93F960BF323}"/>
    <dataValidation allowBlank="1" showInputMessage="1" showErrorMessage="1" promptTitle="Notional 2" prompt="_x000a_Filter trades by entering text. Double-click for more options." sqref="N7" xr:uid="{73E3F737-78A2-42F2-8398-3AC0E3983B78}"/>
    <dataValidation allowBlank="1" showInputMessage="1" showErrorMessage="1" promptTitle="Rate 2" prompt="_x000a_Filter trades by entering text. Double-click for more options." sqref="O7" xr:uid="{D802AEC7-3437-4D49-93AE-B612E845DE64}"/>
    <dataValidation allowBlank="1" showInputMessage="1" showErrorMessage="1" promptTitle="Leg Type 2" prompt="_x000a_Filter trades by entering text. Double-click for more options." sqref="P7" xr:uid="{CE6A6969-34ED-42DC-A049-ACE89AAC951F}"/>
    <dataValidation allowBlank="1" showInputMessage="1" showErrorMessage="1" promptTitle="Freq 2" prompt="_x000a_Filter trades by entering text. Double-click for more options." sqref="Q7" xr:uid="{3F4AFA1D-4BC5-41EB-973E-4A0FDE62FB6A}"/>
    <dataValidation allowBlank="1" showInputMessage="1" showErrorMessage="1" promptTitle="DCT 2" prompt="_x000a_Filter trades by entering text. Double-click for more options." sqref="R7" xr:uid="{482D5BF1-5D3D-410A-964C-717CE37FC228}"/>
    <dataValidation allowBlank="1" showInputMessage="1" showErrorMessage="1" promptTitle="BDC 2" prompt="_x000a_Filter trades by entering text. Double-click for more options." sqref="S7" xr:uid="{31ADBDE1-FA82-4C6F-A7D9-73840D8D53D4}"/>
    <dataValidation allowBlank="1" showInputMessage="1" showErrorMessage="1" promptTitle="Counterparty" prompt="_x000a_Filter trades by entering text. Double-click for more options." sqref="T7" xr:uid="{733AACCF-CA4F-4E50-A54B-0BF10E8ADB92}"/>
    <dataValidation allowBlank="1" showInputMessage="1" showErrorMessage="1" promptTitle="Ccy1" prompt="_x000a_Filter trades by entering text. Double-click for more options." sqref="U7" xr:uid="{C0C05754-256F-41EB-9249-B9800F2BE8C9}"/>
    <dataValidation allowBlank="1" showInputMessage="1" showErrorMessage="1" promptTitle="PV (in Ccy 1)" prompt="_x000a_Filter trades by entering text. Double-click for more options." sqref="V7" xr:uid="{DCA401B7-35DC-409D-84EE-1B46B1E23A3E}"/>
    <dataValidation allowBlank="1" showInputMessage="1" showErrorMessage="1" promptTitle="PV (in EUR)" prompt="_x000a_Filter trades by entering text. Double-click for more options." sqref="W7" xr:uid="{B0036CB4-EECB-43F6-B177-A06D39D0A15A}"/>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6" r:id="rId4" name="ButtonMenu">
              <controlPr defaultSize="0" print="0" autoFill="0" autoPict="0" macro="[0]!showmenu">
                <anchor>
                  <from>
                    <xdr:col>6</xdr:col>
                    <xdr:colOff>385763</xdr:colOff>
                    <xdr:row>1</xdr:row>
                    <xdr:rowOff>0</xdr:rowOff>
                  </from>
                  <to>
                    <xdr:col>8</xdr:col>
                    <xdr:colOff>666750</xdr:colOff>
                    <xdr:row>3</xdr:row>
                    <xdr:rowOff>114300</xdr:rowOff>
                  </to>
                </anchor>
              </controlPr>
            </control>
          </mc:Choice>
        </mc:AlternateContent>
        <mc:AlternateContent xmlns:mc="http://schemas.openxmlformats.org/markup-compatibility/2006">
          <mc:Choice Requires="x14">
            <control shapeId="149630" r:id="rId5" name="Button 126">
              <controlPr defaultSize="0" print="0" autoFill="0" autoPict="0" macro="[1]!'SAISortButtonOnAction 2 '">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49631" r:id="rId6" name="Button 127">
              <controlPr defaultSize="0" print="0" autoFill="0" autoPict="0" macro="[1]!'SAISortButtonOnAction 2 '">
                <anchor moveWithCells="1" siz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149632" r:id="rId7" name="Button 128">
              <controlPr defaultSize="0" print="0" autoFill="0" autoPict="0" macro="[1]!'SAISortButtonOnAction 2 '">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49633" r:id="rId8" name="Button 129">
              <controlPr defaultSize="0" print="0" autoFill="0" autoPict="0" macro="[1]!'SAISortButtonOnAction 2 '">
                <anchor moveWithCells="1" siz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149634" r:id="rId9" name="Button 130">
              <controlPr defaultSize="0" print="0" autoFill="0" autoPict="0" macro="[1]!'SAISortButtonOnAction 2 '">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49635" r:id="rId10" name="Button 131">
              <controlPr defaultSize="0" print="0" autoFill="0" autoPict="0" macro="[1]!'SAISortButtonOnAction 2 '">
                <anchor moveWithCells="1" siz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149636" r:id="rId11" name="Button 132">
              <controlPr defaultSize="0" print="0" autoFill="0" autoPict="0" macro="[1]!'SAISortButtonOnAction 2 '">
                <anchor moveWithCells="1" siz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149637" r:id="rId12" name="Button 133">
              <controlPr defaultSize="0" print="0" autoFill="0" autoPict="0" macro="[1]!'SAISortButtonOnAction 2 '">
                <anchor moveWithCells="1" siz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49638" r:id="rId13" name="Button 134">
              <controlPr defaultSize="0" print="0" autoFill="0" autoPict="0" macro="[1]!'SAISortButtonOnAction 2 '">
                <anchor moveWithCells="1" sizeWithCells="1">
                  <from>
                    <xdr:col>9</xdr:col>
                    <xdr:colOff>0</xdr:colOff>
                    <xdr:row>7</xdr:row>
                    <xdr:rowOff>0</xdr:rowOff>
                  </from>
                  <to>
                    <xdr:col>10</xdr:col>
                    <xdr:colOff>0</xdr:colOff>
                    <xdr:row>8</xdr:row>
                    <xdr:rowOff>0</xdr:rowOff>
                  </to>
                </anchor>
              </controlPr>
            </control>
          </mc:Choice>
        </mc:AlternateContent>
        <mc:AlternateContent xmlns:mc="http://schemas.openxmlformats.org/markup-compatibility/2006">
          <mc:Choice Requires="x14">
            <control shapeId="149639" r:id="rId14" name="Button 135">
              <controlPr defaultSize="0" print="0" autoFill="0" autoPict="0" macro="[1]!'SAISortButtonOnAction 2 '">
                <anchor moveWithCells="1" siz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49640" r:id="rId15" name="Button 136">
              <controlPr defaultSize="0" print="0" autoFill="0" autoPict="0" macro="[1]!'SAISortButtonOnAction 2 '">
                <anchor moveWithCells="1" sizeWithCells="1">
                  <from>
                    <xdr:col>11</xdr:col>
                    <xdr:colOff>0</xdr:colOff>
                    <xdr:row>7</xdr:row>
                    <xdr:rowOff>0</xdr:rowOff>
                  </from>
                  <to>
                    <xdr:col>12</xdr:col>
                    <xdr:colOff>0</xdr:colOff>
                    <xdr:row>8</xdr:row>
                    <xdr:rowOff>0</xdr:rowOff>
                  </to>
                </anchor>
              </controlPr>
            </control>
          </mc:Choice>
        </mc:AlternateContent>
        <mc:AlternateContent xmlns:mc="http://schemas.openxmlformats.org/markup-compatibility/2006">
          <mc:Choice Requires="x14">
            <control shapeId="149641" r:id="rId16" name="Button 137">
              <controlPr defaultSize="0" print="0" autoFill="0" autoPict="0" macro="[1]!'SAISortButtonOnAction 2 '">
                <anchor moveWithCells="1" sizeWithCells="1">
                  <from>
                    <xdr:col>12</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149642" r:id="rId17" name="Button 138">
              <controlPr defaultSize="0" print="0" autoFill="0" autoPict="0" macro="[1]!'SAISortButtonOnAction 2 '">
                <anchor moveWithCells="1" sizeWithCells="1">
                  <from>
                    <xdr:col>13</xdr:col>
                    <xdr:colOff>0</xdr:colOff>
                    <xdr:row>7</xdr:row>
                    <xdr:rowOff>0</xdr:rowOff>
                  </from>
                  <to>
                    <xdr:col>14</xdr:col>
                    <xdr:colOff>0</xdr:colOff>
                    <xdr:row>8</xdr:row>
                    <xdr:rowOff>0</xdr:rowOff>
                  </to>
                </anchor>
              </controlPr>
            </control>
          </mc:Choice>
        </mc:AlternateContent>
        <mc:AlternateContent xmlns:mc="http://schemas.openxmlformats.org/markup-compatibility/2006">
          <mc:Choice Requires="x14">
            <control shapeId="149643" r:id="rId18" name="Button 139">
              <controlPr defaultSize="0" print="0" autoFill="0" autoPict="0" macro="[1]!'SAISortButtonOnAction 2 '">
                <anchor moveWithCells="1" sizeWithCells="1">
                  <from>
                    <xdr:col>14</xdr:col>
                    <xdr:colOff>0</xdr:colOff>
                    <xdr:row>7</xdr:row>
                    <xdr:rowOff>0</xdr:rowOff>
                  </from>
                  <to>
                    <xdr:col>15</xdr:col>
                    <xdr:colOff>0</xdr:colOff>
                    <xdr:row>8</xdr:row>
                    <xdr:rowOff>0</xdr:rowOff>
                  </to>
                </anchor>
              </controlPr>
            </control>
          </mc:Choice>
        </mc:AlternateContent>
        <mc:AlternateContent xmlns:mc="http://schemas.openxmlformats.org/markup-compatibility/2006">
          <mc:Choice Requires="x14">
            <control shapeId="149644" r:id="rId19" name="Button 140">
              <controlPr defaultSize="0" print="0" autoFill="0" autoPict="0" macro="[1]!'SAISortButtonOnAction 2 '">
                <anchor moveWithCells="1" siz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149645" r:id="rId20" name="Button 141">
              <controlPr defaultSize="0" print="0" autoFill="0" autoPict="0" macro="[1]!'SAISortButtonOnAction 2 '">
                <anchor moveWithCells="1" sizeWithCells="1">
                  <from>
                    <xdr:col>16</xdr:col>
                    <xdr:colOff>0</xdr:colOff>
                    <xdr:row>7</xdr:row>
                    <xdr:rowOff>0</xdr:rowOff>
                  </from>
                  <to>
                    <xdr:col>17</xdr:col>
                    <xdr:colOff>0</xdr:colOff>
                    <xdr:row>8</xdr:row>
                    <xdr:rowOff>0</xdr:rowOff>
                  </to>
                </anchor>
              </controlPr>
            </control>
          </mc:Choice>
        </mc:AlternateContent>
        <mc:AlternateContent xmlns:mc="http://schemas.openxmlformats.org/markup-compatibility/2006">
          <mc:Choice Requires="x14">
            <control shapeId="149646" r:id="rId21" name="Button 142">
              <controlPr defaultSize="0" print="0" autoFill="0" autoPict="0" macro="[1]!'SAISortButtonOnAction 2 '">
                <anchor moveWithCells="1" sizeWithCells="1">
                  <from>
                    <xdr:col>17</xdr:col>
                    <xdr:colOff>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149647" r:id="rId22" name="Button 143">
              <controlPr defaultSize="0" print="0" autoFill="0" autoPict="0" macro="[1]!'SAISortButtonOnAction 2 '">
                <anchor moveWithCells="1" sizeWithCells="1">
                  <from>
                    <xdr:col>18</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149648" r:id="rId23" name="Button 144">
              <controlPr defaultSize="0" print="0" autoFill="0" autoPict="0" macro="[1]!'SAISortButtonOnAction 2 '">
                <anchor moveWithCells="1" sizeWithCells="1">
                  <from>
                    <xdr:col>19</xdr:col>
                    <xdr:colOff>0</xdr:colOff>
                    <xdr:row>7</xdr:row>
                    <xdr:rowOff>0</xdr:rowOff>
                  </from>
                  <to>
                    <xdr:col>20</xdr:col>
                    <xdr:colOff>0</xdr:colOff>
                    <xdr:row>8</xdr:row>
                    <xdr:rowOff>0</xdr:rowOff>
                  </to>
                </anchor>
              </controlPr>
            </control>
          </mc:Choice>
        </mc:AlternateContent>
        <mc:AlternateContent xmlns:mc="http://schemas.openxmlformats.org/markup-compatibility/2006">
          <mc:Choice Requires="x14">
            <control shapeId="149649" r:id="rId24" name="Button 145">
              <controlPr defaultSize="0" print="0" autoFill="0" autoPict="0" macro="[1]!'SAISortButtonOnAction 2 '">
                <anchor moveWithCells="1" sizeWithCells="1">
                  <from>
                    <xdr:col>20</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149650" r:id="rId25" name="Button 146">
              <controlPr defaultSize="0" print="0" autoFill="0" autoPict="0" macro="[1]!'SAISortButtonOnAction 2 '">
                <anchor moveWithCells="1" sizeWithCells="1">
                  <from>
                    <xdr:col>21</xdr:col>
                    <xdr:colOff>0</xdr:colOff>
                    <xdr:row>7</xdr:row>
                    <xdr:rowOff>0</xdr:rowOff>
                  </from>
                  <to>
                    <xdr:col>22</xdr:col>
                    <xdr:colOff>0</xdr:colOff>
                    <xdr:row>8</xdr:row>
                    <xdr:rowOff>0</xdr:rowOff>
                  </to>
                </anchor>
              </controlPr>
            </control>
          </mc:Choice>
        </mc:AlternateContent>
        <mc:AlternateContent xmlns:mc="http://schemas.openxmlformats.org/markup-compatibility/2006">
          <mc:Choice Requires="x14">
            <control shapeId="149651" r:id="rId26" name="Button 147">
              <controlPr defaultSize="0" print="0" autoFill="0" autoPict="0" macro="[1]!'SAISortButtonOnAction 2 '">
                <anchor moveWithCells="1" sizeWithCells="1">
                  <from>
                    <xdr:col>22</xdr:col>
                    <xdr:colOff>0</xdr:colOff>
                    <xdr:row>7</xdr:row>
                    <xdr:rowOff>0</xdr:rowOff>
                  </from>
                  <to>
                    <xdr:col>23</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xVADashboard"/>
  <dimension ref="A1:Y48"/>
  <sheetViews>
    <sheetView showGridLines="0" showRowColHeaders="0" zoomScaleNormal="100" workbookViewId="0">
      <pane ySplit="10" topLeftCell="A11" activePane="bottomLeft" state="frozen"/>
      <selection pane="bottomLeft"/>
    </sheetView>
  </sheetViews>
  <sheetFormatPr defaultColWidth="9.1328125" defaultRowHeight="14.25" x14ac:dyDescent="0.45"/>
  <cols>
    <col min="1" max="1" width="2.53125" style="16" customWidth="1"/>
    <col min="2" max="2" width="13.53125" style="16" customWidth="1"/>
    <col min="3" max="3" width="10.9296875" style="16" customWidth="1"/>
    <col min="4" max="4" width="9.796875" style="16" customWidth="1"/>
    <col min="5" max="9" width="8.59765625" style="16" customWidth="1"/>
    <col min="10" max="10" width="9.796875" style="16" customWidth="1"/>
    <col min="11" max="22" width="8.59765625" style="16" customWidth="1"/>
    <col min="23" max="23" width="12.86328125" style="16" customWidth="1"/>
    <col min="24" max="25" width="15.1328125" style="16" customWidth="1"/>
    <col min="26" max="16384" width="9.1328125" style="16"/>
  </cols>
  <sheetData>
    <row r="1" spans="2:25" x14ac:dyDescent="0.45">
      <c r="G1" s="17"/>
      <c r="H1" s="17"/>
    </row>
    <row r="4" spans="2:25" x14ac:dyDescent="0.45">
      <c r="L4" s="73"/>
    </row>
    <row r="5" spans="2:25" x14ac:dyDescent="0.45">
      <c r="G5" s="73"/>
      <c r="H5" s="73"/>
    </row>
    <row r="6" spans="2:25" ht="23.25" x14ac:dyDescent="0.7">
      <c r="B6" s="18" t="s">
        <v>850</v>
      </c>
      <c r="L6" s="73"/>
    </row>
    <row r="7" spans="2:25" x14ac:dyDescent="0.45">
      <c r="B7" s="71" t="s">
        <v>52</v>
      </c>
    </row>
    <row r="8" spans="2:25" x14ac:dyDescent="0.45">
      <c r="B8" s="23"/>
    </row>
    <row r="9" spans="2:25" ht="20.25" customHeight="1" x14ac:dyDescent="0.45">
      <c r="B9" s="166" t="s">
        <v>32</v>
      </c>
      <c r="C9" s="166" t="s">
        <v>810</v>
      </c>
      <c r="D9" s="117" t="s">
        <v>1018</v>
      </c>
      <c r="E9" s="118"/>
      <c r="F9" s="118"/>
      <c r="G9" s="118"/>
      <c r="H9" s="118"/>
      <c r="I9" s="119"/>
      <c r="J9" s="120" t="s">
        <v>91</v>
      </c>
      <c r="K9" s="121"/>
      <c r="L9" s="121"/>
      <c r="M9" s="121"/>
      <c r="N9" s="121"/>
      <c r="O9" s="122"/>
      <c r="P9" s="120" t="s">
        <v>245</v>
      </c>
      <c r="Q9" s="118"/>
      <c r="R9" s="118"/>
      <c r="S9" s="118"/>
      <c r="T9" s="118"/>
      <c r="U9" s="118"/>
      <c r="V9" s="118"/>
      <c r="W9"/>
      <c r="X9"/>
      <c r="Y9"/>
    </row>
    <row r="10" spans="2:25" ht="20.25" customHeight="1" x14ac:dyDescent="0.45">
      <c r="B10" s="167"/>
      <c r="C10" s="167"/>
      <c r="D10" s="51" t="s">
        <v>249</v>
      </c>
      <c r="E10" s="51" t="s">
        <v>9</v>
      </c>
      <c r="F10" s="51" t="s">
        <v>10</v>
      </c>
      <c r="G10" s="51" t="s">
        <v>805</v>
      </c>
      <c r="H10" s="51" t="s">
        <v>806</v>
      </c>
      <c r="I10" s="51" t="s">
        <v>11</v>
      </c>
      <c r="J10" s="52" t="s">
        <v>249</v>
      </c>
      <c r="K10" s="52" t="s">
        <v>9</v>
      </c>
      <c r="L10" s="52" t="s">
        <v>10</v>
      </c>
      <c r="M10" s="52" t="s">
        <v>805</v>
      </c>
      <c r="N10" s="52" t="s">
        <v>806</v>
      </c>
      <c r="O10" s="52" t="s">
        <v>11</v>
      </c>
      <c r="P10" s="52" t="s">
        <v>560</v>
      </c>
      <c r="Q10" s="52" t="s">
        <v>9</v>
      </c>
      <c r="R10" s="52" t="s">
        <v>10</v>
      </c>
      <c r="S10" s="52" t="s">
        <v>805</v>
      </c>
      <c r="T10" s="52" t="s">
        <v>806</v>
      </c>
      <c r="U10" s="52" t="s">
        <v>11</v>
      </c>
      <c r="V10" s="129" t="s">
        <v>85</v>
      </c>
      <c r="W10"/>
      <c r="X10"/>
      <c r="Y10"/>
    </row>
    <row r="11" spans="2:25" x14ac:dyDescent="0.45">
      <c r="B11"/>
      <c r="C11"/>
      <c r="D11"/>
      <c r="E11"/>
      <c r="F11"/>
      <c r="G11"/>
      <c r="H11"/>
      <c r="I11"/>
      <c r="J11"/>
      <c r="K11"/>
      <c r="L11"/>
      <c r="M11"/>
      <c r="N11"/>
      <c r="O11"/>
      <c r="P11"/>
      <c r="Q11"/>
      <c r="R11"/>
      <c r="S11"/>
      <c r="T11"/>
      <c r="U11"/>
      <c r="V11"/>
      <c r="W11"/>
      <c r="X11"/>
      <c r="Y11"/>
    </row>
    <row r="12" spans="2:25" x14ac:dyDescent="0.45">
      <c r="B12"/>
      <c r="C12"/>
      <c r="D12"/>
      <c r="E12"/>
      <c r="F12"/>
      <c r="G12"/>
      <c r="H12"/>
      <c r="I12"/>
      <c r="J12"/>
      <c r="K12"/>
      <c r="L12"/>
      <c r="M12"/>
      <c r="N12"/>
      <c r="O12"/>
      <c r="P12"/>
      <c r="Q12"/>
      <c r="R12"/>
      <c r="S12"/>
      <c r="T12"/>
      <c r="U12"/>
      <c r="V12"/>
      <c r="W12"/>
      <c r="X12"/>
      <c r="Y12"/>
    </row>
    <row r="13" spans="2:25" x14ac:dyDescent="0.45">
      <c r="B13"/>
      <c r="C13"/>
      <c r="D13"/>
      <c r="E13"/>
      <c r="F13"/>
      <c r="G13"/>
      <c r="H13"/>
      <c r="I13"/>
      <c r="J13"/>
      <c r="K13"/>
      <c r="L13"/>
      <c r="M13"/>
      <c r="N13"/>
      <c r="O13"/>
      <c r="P13"/>
      <c r="Q13"/>
      <c r="R13"/>
      <c r="S13"/>
      <c r="T13"/>
      <c r="U13"/>
      <c r="V13"/>
    </row>
    <row r="14" spans="2:25" x14ac:dyDescent="0.45">
      <c r="B14"/>
      <c r="C14"/>
      <c r="D14"/>
      <c r="E14"/>
      <c r="F14"/>
      <c r="G14"/>
      <c r="H14"/>
      <c r="I14"/>
      <c r="J14"/>
      <c r="K14"/>
      <c r="L14"/>
      <c r="M14"/>
      <c r="N14"/>
      <c r="O14"/>
      <c r="P14"/>
      <c r="Q14"/>
      <c r="R14"/>
      <c r="S14"/>
      <c r="T14"/>
      <c r="U14"/>
      <c r="V14"/>
    </row>
    <row r="15" spans="2:25" x14ac:dyDescent="0.45">
      <c r="B15"/>
      <c r="C15"/>
      <c r="D15"/>
      <c r="E15"/>
      <c r="F15"/>
      <c r="G15"/>
      <c r="H15"/>
      <c r="I15"/>
      <c r="J15"/>
      <c r="K15"/>
      <c r="L15"/>
      <c r="M15"/>
      <c r="N15"/>
      <c r="O15"/>
      <c r="P15"/>
      <c r="Q15"/>
      <c r="R15"/>
      <c r="S15"/>
      <c r="T15"/>
      <c r="U15"/>
      <c r="V15"/>
    </row>
    <row r="16" spans="2:25" x14ac:dyDescent="0.45">
      <c r="B16"/>
      <c r="C16"/>
      <c r="D16"/>
      <c r="E16"/>
      <c r="F16"/>
      <c r="G16"/>
      <c r="H16"/>
      <c r="I16"/>
      <c r="J16"/>
      <c r="K16"/>
      <c r="L16"/>
      <c r="M16"/>
      <c r="N16"/>
      <c r="O16"/>
      <c r="P16"/>
      <c r="Q16"/>
      <c r="R16"/>
      <c r="S16"/>
      <c r="T16"/>
      <c r="U16"/>
      <c r="V16"/>
    </row>
    <row r="17" spans="1:22" x14ac:dyDescent="0.45">
      <c r="A17"/>
      <c r="B17"/>
      <c r="C17"/>
      <c r="D17"/>
      <c r="E17"/>
      <c r="F17"/>
      <c r="G17"/>
      <c r="H17"/>
      <c r="I17"/>
      <c r="J17"/>
      <c r="K17"/>
      <c r="L17"/>
      <c r="M17"/>
      <c r="N17"/>
      <c r="O17"/>
      <c r="P17"/>
      <c r="Q17"/>
      <c r="R17"/>
      <c r="S17"/>
      <c r="T17"/>
      <c r="U17"/>
      <c r="V17"/>
    </row>
    <row r="18" spans="1:22" x14ac:dyDescent="0.45">
      <c r="A18"/>
      <c r="B18"/>
      <c r="C18"/>
      <c r="D18"/>
      <c r="E18"/>
      <c r="F18"/>
      <c r="G18"/>
      <c r="H18"/>
      <c r="I18"/>
      <c r="J18"/>
      <c r="K18"/>
      <c r="L18"/>
      <c r="M18"/>
      <c r="N18"/>
      <c r="O18"/>
      <c r="P18"/>
      <c r="Q18"/>
      <c r="R18"/>
      <c r="S18"/>
      <c r="T18"/>
      <c r="U18"/>
      <c r="V18"/>
    </row>
    <row r="19" spans="1:22" x14ac:dyDescent="0.45">
      <c r="A19"/>
      <c r="B19"/>
      <c r="C19"/>
      <c r="D19"/>
      <c r="E19"/>
      <c r="F19"/>
      <c r="G19"/>
      <c r="H19"/>
      <c r="I19"/>
      <c r="J19"/>
      <c r="K19"/>
      <c r="L19"/>
      <c r="M19"/>
      <c r="N19"/>
      <c r="O19"/>
      <c r="P19"/>
      <c r="Q19"/>
      <c r="R19"/>
      <c r="S19"/>
      <c r="T19"/>
      <c r="U19"/>
      <c r="V19"/>
    </row>
    <row r="20" spans="1:22" x14ac:dyDescent="0.45">
      <c r="A20"/>
      <c r="B20"/>
      <c r="C20"/>
      <c r="D20"/>
      <c r="E20"/>
      <c r="F20"/>
      <c r="G20"/>
      <c r="H20"/>
      <c r="I20"/>
      <c r="J20"/>
      <c r="K20"/>
      <c r="L20"/>
      <c r="M20"/>
      <c r="N20"/>
      <c r="O20"/>
      <c r="P20"/>
      <c r="Q20"/>
      <c r="R20"/>
      <c r="S20"/>
      <c r="T20"/>
      <c r="U20"/>
      <c r="V20"/>
    </row>
    <row r="21" spans="1:22" x14ac:dyDescent="0.45">
      <c r="B21"/>
      <c r="C21"/>
      <c r="D21"/>
      <c r="E21"/>
      <c r="F21"/>
      <c r="G21"/>
      <c r="H21"/>
      <c r="I21"/>
      <c r="J21"/>
      <c r="K21"/>
      <c r="L21"/>
      <c r="M21"/>
      <c r="N21"/>
      <c r="O21"/>
      <c r="P21"/>
      <c r="Q21"/>
      <c r="R21"/>
      <c r="S21"/>
      <c r="T21"/>
      <c r="U21"/>
      <c r="V21"/>
    </row>
    <row r="22" spans="1:22" x14ac:dyDescent="0.45">
      <c r="B22"/>
      <c r="C22"/>
      <c r="D22"/>
      <c r="E22" s="132"/>
      <c r="F22"/>
      <c r="G22"/>
      <c r="H22"/>
      <c r="I22"/>
      <c r="J22"/>
      <c r="K22"/>
      <c r="L22"/>
      <c r="M22"/>
      <c r="N22"/>
      <c r="O22"/>
      <c r="P22"/>
      <c r="Q22"/>
      <c r="R22"/>
      <c r="S22"/>
      <c r="T22"/>
      <c r="U22"/>
      <c r="V22"/>
    </row>
    <row r="23" spans="1:22" x14ac:dyDescent="0.45">
      <c r="B23"/>
      <c r="C23"/>
      <c r="D23"/>
      <c r="E23"/>
      <c r="F23"/>
      <c r="G23"/>
      <c r="H23"/>
      <c r="I23"/>
      <c r="J23"/>
      <c r="K23"/>
      <c r="L23"/>
      <c r="M23"/>
      <c r="N23"/>
      <c r="O23"/>
      <c r="P23"/>
      <c r="Q23"/>
      <c r="R23"/>
      <c r="S23"/>
      <c r="T23"/>
      <c r="U23"/>
      <c r="V23"/>
    </row>
    <row r="24" spans="1:22" x14ac:dyDescent="0.45">
      <c r="B24"/>
      <c r="C24"/>
      <c r="D24"/>
      <c r="E24"/>
      <c r="F24"/>
      <c r="G24"/>
      <c r="H24"/>
      <c r="I24"/>
      <c r="J24"/>
      <c r="K24"/>
      <c r="L24"/>
      <c r="M24"/>
      <c r="N24"/>
      <c r="O24"/>
      <c r="P24"/>
      <c r="Q24"/>
      <c r="R24"/>
      <c r="S24"/>
      <c r="T24"/>
      <c r="U24"/>
      <c r="V24"/>
    </row>
    <row r="25" spans="1:22" x14ac:dyDescent="0.45">
      <c r="B25"/>
      <c r="C25"/>
      <c r="D25"/>
      <c r="E25"/>
      <c r="F25"/>
      <c r="G25"/>
      <c r="H25"/>
      <c r="I25"/>
      <c r="J25"/>
      <c r="K25"/>
      <c r="L25"/>
      <c r="M25"/>
      <c r="N25"/>
      <c r="O25"/>
      <c r="P25"/>
      <c r="Q25"/>
      <c r="R25"/>
      <c r="S25"/>
      <c r="T25"/>
      <c r="U25"/>
      <c r="V25"/>
    </row>
    <row r="26" spans="1:22" x14ac:dyDescent="0.45">
      <c r="B26"/>
      <c r="C26"/>
      <c r="D26"/>
      <c r="E26"/>
      <c r="F26"/>
      <c r="G26"/>
      <c r="H26"/>
      <c r="I26"/>
      <c r="J26"/>
      <c r="K26"/>
      <c r="L26"/>
      <c r="M26"/>
      <c r="N26"/>
      <c r="O26"/>
      <c r="P26"/>
      <c r="Q26"/>
      <c r="R26"/>
      <c r="S26"/>
      <c r="T26"/>
      <c r="U26"/>
      <c r="V26"/>
    </row>
    <row r="27" spans="1:22" x14ac:dyDescent="0.45">
      <c r="B27"/>
      <c r="C27"/>
      <c r="D27"/>
      <c r="E27"/>
      <c r="F27"/>
      <c r="G27"/>
      <c r="H27"/>
      <c r="I27"/>
      <c r="J27"/>
      <c r="K27"/>
      <c r="L27"/>
      <c r="M27"/>
      <c r="N27"/>
      <c r="O27"/>
      <c r="P27"/>
      <c r="Q27"/>
      <c r="R27"/>
      <c r="S27"/>
      <c r="T27"/>
      <c r="U27"/>
      <c r="V27"/>
    </row>
    <row r="28" spans="1:22" x14ac:dyDescent="0.45">
      <c r="B28"/>
      <c r="C28"/>
      <c r="D28"/>
      <c r="E28"/>
      <c r="F28"/>
      <c r="G28"/>
      <c r="H28"/>
      <c r="I28"/>
      <c r="J28"/>
      <c r="K28"/>
      <c r="L28"/>
      <c r="M28"/>
      <c r="N28"/>
      <c r="O28"/>
      <c r="P28"/>
      <c r="Q28"/>
      <c r="R28"/>
      <c r="S28"/>
      <c r="T28"/>
      <c r="U28"/>
      <c r="V28"/>
    </row>
    <row r="29" spans="1:22" x14ac:dyDescent="0.45">
      <c r="B29"/>
      <c r="C29"/>
      <c r="D29"/>
      <c r="E29"/>
      <c r="F29"/>
      <c r="G29"/>
      <c r="H29"/>
      <c r="I29"/>
      <c r="J29"/>
      <c r="K29"/>
      <c r="L29"/>
      <c r="M29"/>
      <c r="N29"/>
      <c r="O29"/>
      <c r="P29"/>
      <c r="Q29"/>
      <c r="R29"/>
      <c r="S29"/>
      <c r="T29"/>
      <c r="U29"/>
      <c r="V29"/>
    </row>
    <row r="30" spans="1:22" x14ac:dyDescent="0.45">
      <c r="B30"/>
      <c r="C30"/>
      <c r="D30"/>
      <c r="E30"/>
      <c r="F30"/>
      <c r="G30"/>
      <c r="H30"/>
      <c r="I30"/>
      <c r="J30"/>
      <c r="K30"/>
      <c r="L30"/>
      <c r="M30"/>
      <c r="N30"/>
      <c r="O30"/>
      <c r="P30"/>
      <c r="Q30"/>
      <c r="R30"/>
      <c r="S30"/>
      <c r="T30"/>
      <c r="U30"/>
      <c r="V30"/>
    </row>
    <row r="31" spans="1:22" x14ac:dyDescent="0.45">
      <c r="B31"/>
      <c r="C31"/>
      <c r="D31"/>
      <c r="E31"/>
      <c r="F31"/>
      <c r="G31"/>
      <c r="H31"/>
      <c r="I31"/>
      <c r="J31"/>
      <c r="K31"/>
      <c r="L31"/>
      <c r="M31"/>
      <c r="N31"/>
      <c r="O31"/>
      <c r="P31"/>
      <c r="Q31"/>
      <c r="R31"/>
      <c r="S31"/>
      <c r="T31"/>
      <c r="U31"/>
      <c r="V31"/>
    </row>
    <row r="32" spans="1:22" x14ac:dyDescent="0.45">
      <c r="B32"/>
      <c r="C32"/>
      <c r="D32"/>
      <c r="E32"/>
      <c r="F32"/>
      <c r="G32"/>
      <c r="H32"/>
      <c r="I32"/>
      <c r="J32"/>
      <c r="K32"/>
      <c r="L32"/>
      <c r="M32"/>
      <c r="N32"/>
      <c r="O32"/>
      <c r="P32"/>
      <c r="Q32"/>
      <c r="R32"/>
      <c r="S32"/>
      <c r="T32"/>
      <c r="U32"/>
      <c r="V32"/>
    </row>
    <row r="33" spans="2:22" x14ac:dyDescent="0.45">
      <c r="B33"/>
      <c r="C33"/>
      <c r="D33"/>
      <c r="E33"/>
      <c r="F33"/>
      <c r="G33"/>
      <c r="H33"/>
      <c r="I33"/>
      <c r="J33"/>
      <c r="K33"/>
      <c r="L33"/>
      <c r="M33"/>
      <c r="N33"/>
      <c r="O33"/>
      <c r="P33"/>
      <c r="Q33"/>
      <c r="R33"/>
      <c r="S33"/>
      <c r="T33"/>
      <c r="U33"/>
      <c r="V33"/>
    </row>
    <row r="34" spans="2:22" x14ac:dyDescent="0.45">
      <c r="B34"/>
      <c r="C34"/>
      <c r="D34"/>
      <c r="E34"/>
      <c r="F34"/>
      <c r="G34"/>
      <c r="H34"/>
      <c r="I34"/>
      <c r="J34"/>
      <c r="K34"/>
      <c r="L34"/>
      <c r="M34"/>
      <c r="N34"/>
      <c r="O34"/>
      <c r="P34"/>
      <c r="Q34"/>
      <c r="R34"/>
      <c r="S34"/>
      <c r="T34"/>
      <c r="U34"/>
      <c r="V34"/>
    </row>
    <row r="35" spans="2:22" x14ac:dyDescent="0.45">
      <c r="B35"/>
      <c r="C35"/>
      <c r="D35"/>
      <c r="E35"/>
      <c r="F35"/>
      <c r="G35"/>
      <c r="H35"/>
      <c r="I35"/>
      <c r="J35"/>
      <c r="K35"/>
      <c r="L35"/>
      <c r="M35"/>
      <c r="N35"/>
      <c r="O35"/>
      <c r="P35"/>
      <c r="Q35"/>
      <c r="R35"/>
      <c r="S35"/>
      <c r="T35"/>
      <c r="U35"/>
      <c r="V35"/>
    </row>
    <row r="36" spans="2:22" x14ac:dyDescent="0.45">
      <c r="B36"/>
      <c r="C36"/>
      <c r="D36"/>
      <c r="E36"/>
      <c r="F36"/>
      <c r="G36"/>
      <c r="H36"/>
      <c r="I36"/>
      <c r="J36"/>
      <c r="K36"/>
      <c r="L36"/>
      <c r="M36"/>
      <c r="N36"/>
      <c r="O36"/>
      <c r="P36"/>
      <c r="Q36"/>
      <c r="R36"/>
      <c r="S36"/>
      <c r="T36"/>
      <c r="U36"/>
      <c r="V36"/>
    </row>
    <row r="37" spans="2:22" x14ac:dyDescent="0.45">
      <c r="B37"/>
      <c r="C37"/>
      <c r="D37"/>
      <c r="E37"/>
      <c r="F37"/>
      <c r="G37"/>
      <c r="H37"/>
      <c r="I37"/>
      <c r="J37"/>
      <c r="K37"/>
      <c r="L37"/>
      <c r="M37"/>
      <c r="N37"/>
      <c r="O37"/>
      <c r="P37"/>
      <c r="Q37"/>
      <c r="R37"/>
      <c r="S37"/>
      <c r="T37"/>
      <c r="U37"/>
      <c r="V37"/>
    </row>
    <row r="38" spans="2:22" x14ac:dyDescent="0.45">
      <c r="B38"/>
      <c r="C38"/>
      <c r="D38"/>
      <c r="E38"/>
      <c r="F38"/>
      <c r="G38"/>
      <c r="H38"/>
      <c r="I38"/>
      <c r="J38"/>
      <c r="K38"/>
      <c r="L38"/>
      <c r="M38"/>
      <c r="N38"/>
      <c r="O38"/>
      <c r="P38"/>
      <c r="Q38"/>
      <c r="R38"/>
      <c r="S38"/>
      <c r="T38"/>
      <c r="U38"/>
      <c r="V38"/>
    </row>
    <row r="39" spans="2:22" x14ac:dyDescent="0.45">
      <c r="B39"/>
      <c r="C39"/>
      <c r="D39"/>
      <c r="E39"/>
      <c r="F39"/>
      <c r="G39"/>
      <c r="H39"/>
      <c r="I39"/>
      <c r="J39"/>
      <c r="K39"/>
      <c r="L39"/>
      <c r="M39"/>
      <c r="N39"/>
      <c r="O39"/>
      <c r="P39"/>
      <c r="Q39"/>
      <c r="R39"/>
      <c r="S39"/>
      <c r="T39"/>
      <c r="U39"/>
      <c r="V39"/>
    </row>
    <row r="40" spans="2:22" x14ac:dyDescent="0.45">
      <c r="B40"/>
      <c r="C40"/>
      <c r="D40"/>
      <c r="E40"/>
      <c r="F40"/>
      <c r="G40"/>
      <c r="H40"/>
      <c r="I40"/>
      <c r="J40"/>
      <c r="K40"/>
      <c r="L40"/>
      <c r="M40"/>
      <c r="N40"/>
      <c r="O40"/>
      <c r="P40"/>
      <c r="Q40"/>
      <c r="R40"/>
      <c r="S40"/>
      <c r="T40"/>
      <c r="U40"/>
      <c r="V40"/>
    </row>
    <row r="41" spans="2:22" x14ac:dyDescent="0.45">
      <c r="B41"/>
      <c r="C41"/>
      <c r="D41"/>
      <c r="E41"/>
      <c r="F41"/>
      <c r="G41"/>
      <c r="H41"/>
      <c r="I41"/>
      <c r="J41"/>
      <c r="K41"/>
      <c r="L41"/>
      <c r="M41"/>
      <c r="N41"/>
      <c r="O41"/>
      <c r="P41"/>
      <c r="Q41"/>
      <c r="R41"/>
      <c r="S41"/>
      <c r="T41"/>
      <c r="U41"/>
      <c r="V41"/>
    </row>
    <row r="42" spans="2:22" x14ac:dyDescent="0.45">
      <c r="B42"/>
      <c r="C42"/>
      <c r="D42"/>
      <c r="E42"/>
      <c r="F42"/>
      <c r="G42"/>
      <c r="H42"/>
      <c r="I42"/>
      <c r="J42"/>
      <c r="K42"/>
      <c r="L42"/>
      <c r="M42"/>
      <c r="N42"/>
      <c r="O42"/>
      <c r="P42"/>
      <c r="Q42"/>
      <c r="R42"/>
      <c r="S42"/>
      <c r="T42"/>
      <c r="U42"/>
      <c r="V42"/>
    </row>
    <row r="43" spans="2:22" x14ac:dyDescent="0.45">
      <c r="B43"/>
      <c r="C43"/>
      <c r="D43"/>
      <c r="E43"/>
      <c r="F43"/>
      <c r="G43"/>
      <c r="H43"/>
      <c r="I43"/>
      <c r="J43"/>
      <c r="K43"/>
      <c r="L43"/>
      <c r="M43"/>
      <c r="N43"/>
      <c r="O43"/>
      <c r="P43"/>
      <c r="Q43"/>
      <c r="R43"/>
      <c r="S43"/>
      <c r="T43"/>
      <c r="U43"/>
      <c r="V43"/>
    </row>
    <row r="44" spans="2:22" x14ac:dyDescent="0.45">
      <c r="B44"/>
      <c r="C44"/>
      <c r="D44"/>
      <c r="E44"/>
      <c r="F44"/>
      <c r="G44"/>
      <c r="H44"/>
      <c r="I44"/>
      <c r="J44"/>
      <c r="K44"/>
      <c r="L44"/>
      <c r="M44"/>
      <c r="N44"/>
      <c r="O44"/>
      <c r="P44"/>
      <c r="Q44"/>
      <c r="R44"/>
      <c r="S44"/>
      <c r="T44"/>
      <c r="U44"/>
      <c r="V44"/>
    </row>
    <row r="45" spans="2:22" x14ac:dyDescent="0.45">
      <c r="B45"/>
      <c r="C45"/>
      <c r="D45"/>
      <c r="E45"/>
      <c r="F45"/>
      <c r="G45"/>
      <c r="H45"/>
      <c r="I45"/>
      <c r="J45"/>
      <c r="K45"/>
      <c r="L45"/>
      <c r="M45"/>
      <c r="N45"/>
      <c r="O45"/>
      <c r="P45"/>
      <c r="Q45"/>
      <c r="R45"/>
      <c r="S45"/>
      <c r="T45"/>
      <c r="U45"/>
      <c r="V45"/>
    </row>
    <row r="46" spans="2:22" x14ac:dyDescent="0.45">
      <c r="B46"/>
      <c r="C46"/>
      <c r="D46"/>
      <c r="E46"/>
      <c r="F46"/>
      <c r="G46"/>
      <c r="H46"/>
      <c r="I46"/>
      <c r="J46"/>
      <c r="K46"/>
      <c r="L46"/>
      <c r="M46"/>
      <c r="N46"/>
      <c r="O46"/>
      <c r="P46"/>
      <c r="Q46"/>
      <c r="R46"/>
      <c r="S46"/>
      <c r="T46"/>
      <c r="U46"/>
      <c r="V46"/>
    </row>
    <row r="47" spans="2:22" x14ac:dyDescent="0.45">
      <c r="B47"/>
      <c r="C47"/>
      <c r="D47"/>
      <c r="E47"/>
      <c r="F47"/>
      <c r="G47"/>
      <c r="H47"/>
      <c r="I47"/>
      <c r="J47"/>
      <c r="K47"/>
      <c r="L47"/>
      <c r="M47"/>
      <c r="N47"/>
      <c r="O47"/>
      <c r="P47"/>
      <c r="Q47"/>
      <c r="R47"/>
      <c r="S47"/>
      <c r="T47"/>
      <c r="U47"/>
      <c r="V47"/>
    </row>
    <row r="48" spans="2:22" x14ac:dyDescent="0.45">
      <c r="B48"/>
      <c r="C48"/>
      <c r="D48"/>
      <c r="E48"/>
      <c r="F48"/>
      <c r="G48"/>
      <c r="H48"/>
      <c r="I48"/>
      <c r="J48"/>
      <c r="K48"/>
      <c r="L48"/>
      <c r="M48"/>
      <c r="N48"/>
      <c r="O48"/>
      <c r="P48"/>
      <c r="Q48"/>
      <c r="R48"/>
      <c r="S48"/>
      <c r="T48"/>
      <c r="U48"/>
      <c r="V48"/>
    </row>
  </sheetData>
  <sheetProtection sheet="1" objects="1" scenarios="1"/>
  <sortState xmlns:xlrd2="http://schemas.microsoft.com/office/spreadsheetml/2017/richdata2" ref="B11:V12">
    <sortCondition descending="1" ref="B11:B12"/>
  </sortState>
  <mergeCells count="2">
    <mergeCell ref="B9:B10"/>
    <mergeCell ref="C9:C10"/>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Menu">
              <controlPr defaultSize="0" print="0" autoFill="0" autoPict="0" macro="[0]!showmenu">
                <anchor>
                  <from>
                    <xdr:col>5</xdr:col>
                    <xdr:colOff>295275</xdr:colOff>
                    <xdr:row>1</xdr:row>
                    <xdr:rowOff>0</xdr:rowOff>
                  </from>
                  <to>
                    <xdr:col>7</xdr:col>
                    <xdr:colOff>500063</xdr:colOff>
                    <xdr:row>3</xdr:row>
                    <xdr:rowOff>114300</xdr:rowOff>
                  </to>
                </anchor>
              </controlPr>
            </control>
          </mc:Choice>
        </mc:AlternateContent>
        <mc:AlternateContent xmlns:mc="http://schemas.openxmlformats.org/markup-compatibility/2006">
          <mc:Choice Requires="x14">
            <control shapeId="58407" r:id="rId5" name="Button 39">
              <controlPr defaultSize="0" print="0" autoFill="0" autoPict="0" macro="[1]!SAISortButtonOnAction">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58408" r:id="rId6" name="Button 40">
              <controlPr defaultSize="0" print="0" autoFill="0" autoPict="0" macro="[1]!SAISortButtonOnAction">
                <anchor moveWithCells="1" siz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58409" r:id="rId7" name="Button 41">
              <controlPr defaultSize="0" print="0" autoFill="0" autoPict="0" macro="[1]!SAISortButtonOnAction">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58410" r:id="rId8" name="Button 42">
              <controlPr defaultSize="0" print="0" autoFill="0" autoPict="0" macro="[1]!SAISortButtonOnAction">
                <anchor moveWithCells="1" siz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58411" r:id="rId9" name="Button 43">
              <controlPr defaultSize="0" print="0" autoFill="0" autoPict="0" macro="[1]!SAISortButtonOnAction">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58412" r:id="rId10" name="Button 44">
              <controlPr defaultSize="0" print="0" autoFill="0" autoPict="0" macro="[1]!SAISortButtonOnAction">
                <anchor moveWithCells="1" siz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58413" r:id="rId11" name="Button 45">
              <controlPr defaultSize="0" print="0" autoFill="0" autoPict="0" macro="[1]!SAISortButtonOnAction">
                <anchor moveWithCells="1" siz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58414" r:id="rId12" name="Button 46">
              <controlPr defaultSize="0" print="0" autoFill="0" autoPict="0" macro="[1]!SAISortButtonOnAction">
                <anchor moveWithCells="1" siz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58415" r:id="rId13" name="Button 47">
              <controlPr defaultSize="0" print="0" autoFill="0" autoPict="0" macro="[1]!SAISortButtonOnAction">
                <anchor moveWithCells="1" sizeWithCells="1">
                  <from>
                    <xdr:col>9</xdr:col>
                    <xdr:colOff>0</xdr:colOff>
                    <xdr:row>7</xdr:row>
                    <xdr:rowOff>0</xdr:rowOff>
                  </from>
                  <to>
                    <xdr:col>10</xdr:col>
                    <xdr:colOff>0</xdr:colOff>
                    <xdr:row>8</xdr:row>
                    <xdr:rowOff>0</xdr:rowOff>
                  </to>
                </anchor>
              </controlPr>
            </control>
          </mc:Choice>
        </mc:AlternateContent>
        <mc:AlternateContent xmlns:mc="http://schemas.openxmlformats.org/markup-compatibility/2006">
          <mc:Choice Requires="x14">
            <control shapeId="58416" r:id="rId14" name="Button 48">
              <controlPr defaultSize="0" print="0" autoFill="0" autoPict="0" macro="[1]!SAISortButtonOnAction">
                <anchor moveWithCells="1" siz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58417" r:id="rId15" name="Button 49">
              <controlPr defaultSize="0" print="0" autoFill="0" autoPict="0" macro="[1]!SAISortButtonOnAction">
                <anchor moveWithCells="1" sizeWithCells="1">
                  <from>
                    <xdr:col>11</xdr:col>
                    <xdr:colOff>0</xdr:colOff>
                    <xdr:row>7</xdr:row>
                    <xdr:rowOff>0</xdr:rowOff>
                  </from>
                  <to>
                    <xdr:col>12</xdr:col>
                    <xdr:colOff>0</xdr:colOff>
                    <xdr:row>8</xdr:row>
                    <xdr:rowOff>0</xdr:rowOff>
                  </to>
                </anchor>
              </controlPr>
            </control>
          </mc:Choice>
        </mc:AlternateContent>
        <mc:AlternateContent xmlns:mc="http://schemas.openxmlformats.org/markup-compatibility/2006">
          <mc:Choice Requires="x14">
            <control shapeId="58418" r:id="rId16" name="Button 50">
              <controlPr defaultSize="0" print="0" autoFill="0" autoPict="0" macro="[1]!SAISortButtonOnAction">
                <anchor moveWithCells="1" sizeWithCells="1">
                  <from>
                    <xdr:col>12</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58419" r:id="rId17" name="Button 51">
              <controlPr defaultSize="0" print="0" autoFill="0" autoPict="0" macro="[1]!SAISortButtonOnAction">
                <anchor moveWithCells="1" sizeWithCells="1">
                  <from>
                    <xdr:col>13</xdr:col>
                    <xdr:colOff>0</xdr:colOff>
                    <xdr:row>7</xdr:row>
                    <xdr:rowOff>0</xdr:rowOff>
                  </from>
                  <to>
                    <xdr:col>14</xdr:col>
                    <xdr:colOff>0</xdr:colOff>
                    <xdr:row>8</xdr:row>
                    <xdr:rowOff>0</xdr:rowOff>
                  </to>
                </anchor>
              </controlPr>
            </control>
          </mc:Choice>
        </mc:AlternateContent>
        <mc:AlternateContent xmlns:mc="http://schemas.openxmlformats.org/markup-compatibility/2006">
          <mc:Choice Requires="x14">
            <control shapeId="58420" r:id="rId18" name="Button 52">
              <controlPr defaultSize="0" print="0" autoFill="0" autoPict="0" macro="[1]!SAISortButtonOnAction">
                <anchor moveWithCells="1" sizeWithCells="1">
                  <from>
                    <xdr:col>14</xdr:col>
                    <xdr:colOff>0</xdr:colOff>
                    <xdr:row>7</xdr:row>
                    <xdr:rowOff>0</xdr:rowOff>
                  </from>
                  <to>
                    <xdr:col>15</xdr:col>
                    <xdr:colOff>0</xdr:colOff>
                    <xdr:row>8</xdr:row>
                    <xdr:rowOff>0</xdr:rowOff>
                  </to>
                </anchor>
              </controlPr>
            </control>
          </mc:Choice>
        </mc:AlternateContent>
        <mc:AlternateContent xmlns:mc="http://schemas.openxmlformats.org/markup-compatibility/2006">
          <mc:Choice Requires="x14">
            <control shapeId="58421" r:id="rId19" name="Button 53">
              <controlPr defaultSize="0" print="0" autoFill="0" autoPict="0" macro="[1]!SAISortButtonOnAction">
                <anchor moveWithCells="1" siz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58422" r:id="rId20" name="Button 54">
              <controlPr defaultSize="0" print="0" autoFill="0" autoPict="0" macro="[1]!SAISortButtonOnAction">
                <anchor moveWithCells="1" sizeWithCells="1">
                  <from>
                    <xdr:col>16</xdr:col>
                    <xdr:colOff>0</xdr:colOff>
                    <xdr:row>7</xdr:row>
                    <xdr:rowOff>0</xdr:rowOff>
                  </from>
                  <to>
                    <xdr:col>17</xdr:col>
                    <xdr:colOff>0</xdr:colOff>
                    <xdr:row>8</xdr:row>
                    <xdr:rowOff>0</xdr:rowOff>
                  </to>
                </anchor>
              </controlPr>
            </control>
          </mc:Choice>
        </mc:AlternateContent>
        <mc:AlternateContent xmlns:mc="http://schemas.openxmlformats.org/markup-compatibility/2006">
          <mc:Choice Requires="x14">
            <control shapeId="58423" r:id="rId21" name="Button 55">
              <controlPr defaultSize="0" print="0" autoFill="0" autoPict="0" macro="[1]!SAISortButtonOnAction">
                <anchor moveWithCells="1" sizeWithCells="1">
                  <from>
                    <xdr:col>17</xdr:col>
                    <xdr:colOff>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58424" r:id="rId22" name="Button 56">
              <controlPr defaultSize="0" print="0" autoFill="0" autoPict="0" macro="[1]!SAISortButtonOnAction">
                <anchor moveWithCells="1" sizeWithCells="1">
                  <from>
                    <xdr:col>18</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58425" r:id="rId23" name="Button 57">
              <controlPr defaultSize="0" print="0" autoFill="0" autoPict="0" macro="[1]!SAISortButtonOnAction">
                <anchor moveWithCells="1" sizeWithCells="1">
                  <from>
                    <xdr:col>19</xdr:col>
                    <xdr:colOff>0</xdr:colOff>
                    <xdr:row>7</xdr:row>
                    <xdr:rowOff>0</xdr:rowOff>
                  </from>
                  <to>
                    <xdr:col>20</xdr:col>
                    <xdr:colOff>0</xdr:colOff>
                    <xdr:row>8</xdr:row>
                    <xdr:rowOff>0</xdr:rowOff>
                  </to>
                </anchor>
              </controlPr>
            </control>
          </mc:Choice>
        </mc:AlternateContent>
        <mc:AlternateContent xmlns:mc="http://schemas.openxmlformats.org/markup-compatibility/2006">
          <mc:Choice Requires="x14">
            <control shapeId="58426" r:id="rId24" name="Button 58">
              <controlPr defaultSize="0" print="0" autoFill="0" autoPict="0" macro="[1]!SAISortButtonOnAction">
                <anchor moveWithCells="1" sizeWithCells="1">
                  <from>
                    <xdr:col>20</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58427" r:id="rId25" name="Button 59">
              <controlPr defaultSize="0" print="0" autoFill="0" autoPict="0" macro="[1]!SAISortButtonOnAction">
                <anchor moveWithCells="1" sizeWithCells="1">
                  <from>
                    <xdr:col>21</xdr:col>
                    <xdr:colOff>0</xdr:colOff>
                    <xdr:row>7</xdr:row>
                    <xdr:rowOff>0</xdr:rowOff>
                  </from>
                  <to>
                    <xdr:col>22</xdr:col>
                    <xdr:colOff>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HiddenSheet"/>
  <dimension ref="B1:AE44"/>
  <sheetViews>
    <sheetView showGridLines="0" showRowColHeaders="0" topLeftCell="D2" zoomScaleNormal="100" workbookViewId="0">
      <selection activeCell="H46" sqref="H46"/>
    </sheetView>
  </sheetViews>
  <sheetFormatPr defaultRowHeight="14.25" x14ac:dyDescent="0.45"/>
  <cols>
    <col min="1" max="1" width="2.53125" customWidth="1"/>
    <col min="4" max="4" width="17.46484375" bestFit="1" customWidth="1"/>
    <col min="5" max="5" width="17.46484375" customWidth="1"/>
    <col min="7" max="7" width="22.33203125" customWidth="1"/>
    <col min="9" max="9" width="27.33203125" bestFit="1" customWidth="1"/>
    <col min="10" max="10" width="13.1328125" customWidth="1"/>
    <col min="11" max="11" width="16.53125" customWidth="1"/>
    <col min="12" max="12" width="14.53125" customWidth="1"/>
    <col min="13" max="13" width="13.53125" customWidth="1"/>
    <col min="14" max="14" width="11.53125" customWidth="1"/>
    <col min="15" max="15" width="15" customWidth="1"/>
    <col min="16" max="16" width="11.1328125" customWidth="1"/>
    <col min="17" max="17" width="13.53125" customWidth="1"/>
    <col min="18" max="18" width="11.1328125" bestFit="1" customWidth="1"/>
    <col min="19" max="20" width="11.1328125" customWidth="1"/>
    <col min="21" max="21" width="10.1328125" customWidth="1"/>
    <col min="22" max="22" width="15" customWidth="1"/>
    <col min="23" max="23" width="11.1328125" customWidth="1"/>
    <col min="24" max="24" width="13.53125" customWidth="1"/>
    <col min="25" max="25" width="11.1328125" bestFit="1" customWidth="1"/>
    <col min="26" max="27" width="11.1328125" customWidth="1"/>
    <col min="28" max="28" width="18.1328125" customWidth="1"/>
    <col min="29" max="29" width="13.33203125" customWidth="1"/>
    <col min="30" max="30" width="11.33203125" customWidth="1"/>
    <col min="31" max="31" width="11.53125" bestFit="1" customWidth="1"/>
  </cols>
  <sheetData>
    <row r="1" spans="2:31" s="2" customFormat="1" ht="28.5" x14ac:dyDescent="0.85">
      <c r="B1" s="11" t="s">
        <v>98</v>
      </c>
    </row>
    <row r="2" spans="2:31" x14ac:dyDescent="0.45">
      <c r="I2" s="25" t="s">
        <v>338</v>
      </c>
      <c r="J2" s="31">
        <v>0</v>
      </c>
      <c r="K2" s="31">
        <v>0</v>
      </c>
      <c r="L2" s="31">
        <v>0</v>
      </c>
      <c r="M2" s="31">
        <v>0</v>
      </c>
      <c r="N2" s="31">
        <v>0</v>
      </c>
      <c r="O2" s="31">
        <v>0</v>
      </c>
      <c r="P2" s="31">
        <v>0</v>
      </c>
      <c r="Q2" s="31">
        <v>0</v>
      </c>
      <c r="R2" s="31">
        <v>0</v>
      </c>
      <c r="S2" s="31">
        <v>0</v>
      </c>
      <c r="T2" s="31">
        <v>0</v>
      </c>
      <c r="U2" s="31">
        <v>0</v>
      </c>
      <c r="V2" s="31">
        <v>0</v>
      </c>
      <c r="W2" s="31">
        <v>0</v>
      </c>
      <c r="X2" s="31">
        <v>0</v>
      </c>
      <c r="Y2" s="31">
        <v>0</v>
      </c>
      <c r="Z2" s="31">
        <v>0</v>
      </c>
      <c r="AA2" s="31">
        <v>0</v>
      </c>
      <c r="AB2" s="31">
        <v>13</v>
      </c>
      <c r="AC2" s="31">
        <v>6</v>
      </c>
      <c r="AD2" s="31">
        <v>12</v>
      </c>
      <c r="AE2" s="31">
        <v>12</v>
      </c>
    </row>
    <row r="3" spans="2:31" x14ac:dyDescent="0.45">
      <c r="B3" s="91" t="s">
        <v>96</v>
      </c>
      <c r="I3" t="s">
        <v>308</v>
      </c>
      <c r="J3" s="66" t="s">
        <v>309</v>
      </c>
      <c r="K3" s="31" t="s">
        <v>310</v>
      </c>
      <c r="L3" s="31" t="s">
        <v>311</v>
      </c>
      <c r="M3" s="31" t="s">
        <v>312</v>
      </c>
      <c r="N3" s="31" t="s">
        <v>313</v>
      </c>
      <c r="O3" s="31" t="s">
        <v>314</v>
      </c>
      <c r="P3" s="31" t="s">
        <v>315</v>
      </c>
      <c r="Q3" s="66" t="s">
        <v>935</v>
      </c>
      <c r="R3" s="31" t="s">
        <v>316</v>
      </c>
      <c r="S3" s="31" t="str">
        <f>"Filter "&amp;S4</f>
        <v>Filter DCT1</v>
      </c>
      <c r="T3" s="31" t="str">
        <f>"Filter "&amp;T4</f>
        <v>Filter BDC1</v>
      </c>
      <c r="U3" s="31" t="s">
        <v>317</v>
      </c>
      <c r="V3" s="31" t="s">
        <v>318</v>
      </c>
      <c r="W3" s="31" t="s">
        <v>319</v>
      </c>
      <c r="X3" s="66" t="s">
        <v>936</v>
      </c>
      <c r="Y3" s="31" t="s">
        <v>320</v>
      </c>
      <c r="Z3" s="31" t="str">
        <f>"Filter "&amp;Z4</f>
        <v>Filter DCT2</v>
      </c>
      <c r="AA3" s="31" t="str">
        <f>"Filter "&amp;AA4</f>
        <v>Filter BDC2</v>
      </c>
      <c r="AB3" s="31" t="s">
        <v>321</v>
      </c>
      <c r="AC3" s="31" t="s">
        <v>322</v>
      </c>
      <c r="AD3" s="66" t="s">
        <v>323</v>
      </c>
      <c r="AE3" s="66" t="s">
        <v>324</v>
      </c>
    </row>
    <row r="4" spans="2:31" ht="15" customHeight="1" x14ac:dyDescent="0.45">
      <c r="B4" s="60">
        <f ca="1">COUNTIF(B5:B44,"*")</f>
        <v>31</v>
      </c>
      <c r="D4" s="2" t="s">
        <v>79</v>
      </c>
      <c r="E4" s="2" t="s">
        <v>78</v>
      </c>
      <c r="G4" s="90" t="s">
        <v>532</v>
      </c>
      <c r="I4" t="s">
        <v>306</v>
      </c>
      <c r="J4" s="34" t="str">
        <f t="shared" ref="J4:Z4" si="0">SUBSTITUTE(J8," ","")</f>
        <v>TradeID</v>
      </c>
      <c r="K4" s="34" t="str">
        <f t="shared" si="0"/>
        <v>TradeType</v>
      </c>
      <c r="L4" s="34" t="str">
        <f t="shared" si="0"/>
        <v>StartDate</v>
      </c>
      <c r="M4" s="34" t="str">
        <f t="shared" si="0"/>
        <v>EndDate</v>
      </c>
      <c r="N4" s="34" t="str">
        <f t="shared" si="0"/>
        <v>Ccy1</v>
      </c>
      <c r="O4" s="34" t="str">
        <f t="shared" si="0"/>
        <v>Notional1</v>
      </c>
      <c r="P4" s="34" t="str">
        <f t="shared" si="0"/>
        <v>Rate1</v>
      </c>
      <c r="Q4" s="34" t="str">
        <f t="shared" si="0"/>
        <v>LegType1</v>
      </c>
      <c r="R4" s="34" t="str">
        <f t="shared" si="0"/>
        <v>Freq1</v>
      </c>
      <c r="S4" s="34" t="str">
        <f t="shared" si="0"/>
        <v>DCT1</v>
      </c>
      <c r="T4" s="34" t="str">
        <f t="shared" si="0"/>
        <v>BDC1</v>
      </c>
      <c r="U4" s="34" t="str">
        <f t="shared" si="0"/>
        <v>Ccy2</v>
      </c>
      <c r="V4" s="34" t="str">
        <f t="shared" si="0"/>
        <v>Notional2</v>
      </c>
      <c r="W4" s="34" t="str">
        <f t="shared" si="0"/>
        <v>Rate2</v>
      </c>
      <c r="X4" s="34" t="str">
        <f t="shared" si="0"/>
        <v>LegType2</v>
      </c>
      <c r="Y4" s="34" t="str">
        <f t="shared" si="0"/>
        <v>Freq2</v>
      </c>
      <c r="Z4" s="34" t="str">
        <f t="shared" si="0"/>
        <v>DCT2</v>
      </c>
      <c r="AA4" s="34" t="str">
        <f>SUBSTITUTE(AA8," ","")</f>
        <v>BDC2</v>
      </c>
      <c r="AB4" s="34" t="s">
        <v>32</v>
      </c>
      <c r="AC4" s="68" t="s">
        <v>303</v>
      </c>
      <c r="AD4" s="34" t="s">
        <v>304</v>
      </c>
      <c r="AE4" s="34" t="s">
        <v>305</v>
      </c>
    </row>
    <row r="5" spans="2:31" x14ac:dyDescent="0.45">
      <c r="B5" s="34" t="str">
        <f t="array" aca="1" ref="B5:B44" ca="1">CurrenciesSupported(FALSE,FALSE)</f>
        <v>AED</v>
      </c>
      <c r="D5" s="134" t="s">
        <v>536</v>
      </c>
      <c r="E5" s="85" t="s">
        <v>563</v>
      </c>
      <c r="G5" s="77" t="s">
        <v>413</v>
      </c>
      <c r="H5" s="25" t="s">
        <v>403</v>
      </c>
      <c r="I5" t="s">
        <v>356</v>
      </c>
      <c r="J5" s="31" t="str">
        <f>J8</f>
        <v>Trade ID</v>
      </c>
      <c r="K5" s="31" t="str">
        <f t="shared" ref="K5:AA5" si="1">K8</f>
        <v>Trade Type</v>
      </c>
      <c r="L5" s="31" t="str">
        <f t="shared" si="1"/>
        <v>Start Date</v>
      </c>
      <c r="M5" s="31" t="str">
        <f t="shared" si="1"/>
        <v>End Date</v>
      </c>
      <c r="N5" s="31" t="str">
        <f t="shared" si="1"/>
        <v>Ccy 1</v>
      </c>
      <c r="O5" s="31" t="str">
        <f t="shared" si="1"/>
        <v>Notional 1</v>
      </c>
      <c r="P5" s="31" t="str">
        <f t="shared" si="1"/>
        <v>Rate 1</v>
      </c>
      <c r="Q5" s="31" t="str">
        <f t="shared" si="1"/>
        <v>Leg Type 1</v>
      </c>
      <c r="R5" s="31" t="str">
        <f t="shared" si="1"/>
        <v>Freq 1</v>
      </c>
      <c r="S5" s="31" t="str">
        <f t="shared" si="1"/>
        <v>DCT 1</v>
      </c>
      <c r="T5" s="31" t="str">
        <f t="shared" si="1"/>
        <v>BDC 1</v>
      </c>
      <c r="U5" s="31" t="str">
        <f t="shared" si="1"/>
        <v>Ccy 2</v>
      </c>
      <c r="V5" s="31" t="str">
        <f t="shared" si="1"/>
        <v>Notional 2</v>
      </c>
      <c r="W5" s="31" t="str">
        <f t="shared" si="1"/>
        <v>Rate 2</v>
      </c>
      <c r="X5" s="31" t="str">
        <f t="shared" si="1"/>
        <v>Leg Type 2</v>
      </c>
      <c r="Y5" s="31" t="str">
        <f t="shared" si="1"/>
        <v>Freq 2</v>
      </c>
      <c r="Z5" s="31" t="str">
        <f t="shared" si="1"/>
        <v>DCT 2</v>
      </c>
      <c r="AA5" s="31" t="str">
        <f t="shared" si="1"/>
        <v>BDC 2</v>
      </c>
      <c r="AB5" s="31" t="str">
        <f>AB8</f>
        <v>Counterparty</v>
      </c>
      <c r="AC5" s="31" t="str">
        <f>AC7&amp;AC8</f>
        <v>EUR/Ccy1</v>
      </c>
      <c r="AD5" s="31" t="str">
        <f>AD8</f>
        <v>PV (in Ccy 1)</v>
      </c>
      <c r="AE5" s="31" t="str">
        <f>AE8</f>
        <v>PV (in EUR)</v>
      </c>
    </row>
    <row r="6" spans="2:31" ht="15" customHeight="1" x14ac:dyDescent="0.45">
      <c r="B6" s="35" t="str">
        <f ca="1"/>
        <v>ARS</v>
      </c>
      <c r="D6" s="86" t="s">
        <v>74</v>
      </c>
      <c r="E6" s="87" t="s">
        <v>562</v>
      </c>
      <c r="G6" s="78" t="s">
        <v>403</v>
      </c>
      <c r="H6" s="25" t="s">
        <v>403</v>
      </c>
      <c r="J6" s="26" t="s">
        <v>69</v>
      </c>
      <c r="K6" s="19"/>
      <c r="L6" s="19"/>
      <c r="M6" s="4"/>
      <c r="N6" s="19"/>
      <c r="O6" s="19"/>
      <c r="P6" s="19"/>
      <c r="Q6" s="19"/>
      <c r="R6" s="19"/>
      <c r="S6" s="19"/>
      <c r="T6" s="19"/>
      <c r="U6" s="19"/>
      <c r="V6" s="19"/>
      <c r="W6" s="19"/>
      <c r="X6" s="19"/>
      <c r="Y6" s="19"/>
      <c r="Z6" s="19"/>
      <c r="AA6" s="19"/>
      <c r="AB6" s="19"/>
      <c r="AC6" s="19"/>
      <c r="AD6" s="19"/>
      <c r="AE6" s="19"/>
    </row>
    <row r="7" spans="2:31" ht="15" customHeight="1" x14ac:dyDescent="0.45">
      <c r="B7" s="35" t="str">
        <f ca="1"/>
        <v>AUD</v>
      </c>
      <c r="D7" s="86" t="s">
        <v>76</v>
      </c>
      <c r="E7" s="87" t="s">
        <v>562</v>
      </c>
      <c r="G7" s="78" t="s">
        <v>397</v>
      </c>
      <c r="H7" s="25" t="s">
        <v>403</v>
      </c>
      <c r="J7" s="28"/>
      <c r="K7" s="29"/>
      <c r="L7" s="29"/>
      <c r="M7" s="30"/>
      <c r="N7" s="110"/>
      <c r="O7" s="111"/>
      <c r="P7" s="111"/>
      <c r="Q7" s="111"/>
      <c r="R7" s="111"/>
      <c r="S7" s="111"/>
      <c r="T7" s="112"/>
      <c r="U7" s="110"/>
      <c r="V7" s="111"/>
      <c r="W7" s="111"/>
      <c r="X7" s="111"/>
      <c r="Y7" s="111"/>
      <c r="Z7" s="111"/>
      <c r="AA7" s="112"/>
      <c r="AB7" s="113"/>
      <c r="AC7" s="99" t="s">
        <v>643</v>
      </c>
      <c r="AD7" s="115"/>
      <c r="AE7" s="116"/>
    </row>
    <row r="8" spans="2:31" x14ac:dyDescent="0.45">
      <c r="B8" s="35" t="str">
        <f ca="1"/>
        <v>BRL</v>
      </c>
      <c r="D8" s="86" t="s">
        <v>357</v>
      </c>
      <c r="E8" s="87" t="s">
        <v>562</v>
      </c>
      <c r="G8" s="78" t="s">
        <v>404</v>
      </c>
      <c r="H8" s="25" t="s">
        <v>403</v>
      </c>
      <c r="J8" s="27" t="s">
        <v>4</v>
      </c>
      <c r="K8" s="27" t="s">
        <v>5</v>
      </c>
      <c r="L8" s="27" t="s">
        <v>6</v>
      </c>
      <c r="M8" s="27" t="s">
        <v>7</v>
      </c>
      <c r="N8" s="32" t="s">
        <v>16</v>
      </c>
      <c r="O8" s="32" t="s">
        <v>17</v>
      </c>
      <c r="P8" s="40" t="s">
        <v>15</v>
      </c>
      <c r="Q8" s="41" t="s">
        <v>897</v>
      </c>
      <c r="R8" s="32" t="s">
        <v>18</v>
      </c>
      <c r="S8" s="65" t="s">
        <v>333</v>
      </c>
      <c r="T8" s="65" t="s">
        <v>334</v>
      </c>
      <c r="U8" s="32" t="s">
        <v>19</v>
      </c>
      <c r="V8" s="32" t="s">
        <v>20</v>
      </c>
      <c r="W8" s="40" t="s">
        <v>21</v>
      </c>
      <c r="X8" s="41" t="s">
        <v>898</v>
      </c>
      <c r="Y8" s="42" t="s">
        <v>22</v>
      </c>
      <c r="Z8" s="41" t="s">
        <v>335</v>
      </c>
      <c r="AA8" s="41" t="s">
        <v>336</v>
      </c>
      <c r="AB8" s="97" t="s">
        <v>32</v>
      </c>
      <c r="AC8" s="43" t="s">
        <v>14</v>
      </c>
      <c r="AD8" s="114" t="s">
        <v>23</v>
      </c>
      <c r="AE8" s="114" t="s">
        <v>133</v>
      </c>
    </row>
    <row r="9" spans="2:31" x14ac:dyDescent="0.45">
      <c r="B9" s="35" t="str">
        <f ca="1"/>
        <v>CAD</v>
      </c>
      <c r="D9" s="92" t="s">
        <v>358</v>
      </c>
      <c r="E9" s="87" t="s">
        <v>562</v>
      </c>
      <c r="F9" s="2"/>
      <c r="G9" s="78" t="s">
        <v>414</v>
      </c>
      <c r="H9" s="90" t="s">
        <v>403</v>
      </c>
      <c r="I9" s="25" t="s">
        <v>212</v>
      </c>
      <c r="J9" s="57" t="s">
        <v>87</v>
      </c>
      <c r="K9" s="58" t="s">
        <v>211</v>
      </c>
      <c r="L9" s="59">
        <v>44622</v>
      </c>
      <c r="M9" s="59">
        <v>46448</v>
      </c>
      <c r="N9" s="57" t="s">
        <v>0</v>
      </c>
      <c r="O9" s="139">
        <v>100000000</v>
      </c>
      <c r="P9" s="95"/>
      <c r="Q9" s="57" t="s">
        <v>197</v>
      </c>
      <c r="R9" s="57" t="s">
        <v>213</v>
      </c>
      <c r="S9" s="57" t="s">
        <v>397</v>
      </c>
      <c r="T9" s="57" t="s">
        <v>337</v>
      </c>
      <c r="U9" s="54" t="str">
        <f>N9</f>
        <v>EUR</v>
      </c>
      <c r="V9" s="140">
        <f>O9</f>
        <v>100000000</v>
      </c>
      <c r="W9" s="95">
        <v>0</v>
      </c>
      <c r="X9" s="57" t="s">
        <v>899</v>
      </c>
      <c r="Y9" s="57" t="s">
        <v>214</v>
      </c>
      <c r="Z9" s="57" t="s">
        <v>339</v>
      </c>
      <c r="AA9" s="57" t="s">
        <v>337</v>
      </c>
      <c r="AB9" s="57" t="s">
        <v>71</v>
      </c>
      <c r="AC9" s="64"/>
      <c r="AD9" s="137"/>
      <c r="AE9" s="138"/>
    </row>
    <row r="10" spans="2:31" x14ac:dyDescent="0.45">
      <c r="B10" s="35" t="str">
        <f ca="1"/>
        <v>CHF</v>
      </c>
      <c r="D10" s="86" t="s">
        <v>112</v>
      </c>
      <c r="E10" s="87" t="s">
        <v>562</v>
      </c>
      <c r="F10" s="25"/>
      <c r="G10" s="79" t="s">
        <v>405</v>
      </c>
      <c r="H10" s="25" t="s">
        <v>403</v>
      </c>
      <c r="I10" s="25" t="s">
        <v>208</v>
      </c>
      <c r="J10" s="57" t="s">
        <v>87</v>
      </c>
      <c r="K10" s="58" t="s">
        <v>207</v>
      </c>
      <c r="L10" s="59">
        <v>44622</v>
      </c>
      <c r="M10" s="59">
        <v>46448</v>
      </c>
      <c r="N10" s="57" t="s">
        <v>0</v>
      </c>
      <c r="O10" s="139"/>
      <c r="P10" s="95">
        <v>0.02</v>
      </c>
      <c r="Q10" s="57" t="s">
        <v>197</v>
      </c>
      <c r="R10" s="57" t="s">
        <v>215</v>
      </c>
      <c r="S10" s="57" t="s">
        <v>397</v>
      </c>
      <c r="T10" s="57" t="s">
        <v>337</v>
      </c>
      <c r="U10" s="57" t="s">
        <v>2</v>
      </c>
      <c r="V10" s="139"/>
      <c r="W10" s="95">
        <v>0</v>
      </c>
      <c r="X10" s="57" t="s">
        <v>899</v>
      </c>
      <c r="Y10" s="57" t="s">
        <v>214</v>
      </c>
      <c r="Z10" s="57" t="s">
        <v>339</v>
      </c>
      <c r="AA10" s="57" t="s">
        <v>337</v>
      </c>
      <c r="AB10" s="57" t="s">
        <v>71</v>
      </c>
      <c r="AC10" s="64"/>
      <c r="AD10" s="137"/>
      <c r="AE10" s="138"/>
    </row>
    <row r="11" spans="2:31" x14ac:dyDescent="0.45">
      <c r="B11" s="35" t="str">
        <f ca="1"/>
        <v>CLP</v>
      </c>
      <c r="D11" s="86" t="s">
        <v>75</v>
      </c>
      <c r="E11" s="87" t="s">
        <v>563</v>
      </c>
      <c r="F11" s="25"/>
      <c r="G11" s="78" t="s">
        <v>403</v>
      </c>
      <c r="H11" s="25" t="s">
        <v>403</v>
      </c>
      <c r="I11" t="s">
        <v>68</v>
      </c>
      <c r="J11" s="57" t="s">
        <v>87</v>
      </c>
      <c r="K11" s="58" t="s">
        <v>210</v>
      </c>
      <c r="L11" s="55" t="s">
        <v>8</v>
      </c>
      <c r="M11" s="59">
        <v>46448</v>
      </c>
      <c r="N11" s="57" t="s">
        <v>0</v>
      </c>
      <c r="O11" s="139">
        <v>100000000</v>
      </c>
      <c r="P11" s="135" t="s">
        <v>8</v>
      </c>
      <c r="Q11" s="56" t="s">
        <v>8</v>
      </c>
      <c r="R11" s="56" t="s">
        <v>8</v>
      </c>
      <c r="S11" s="56" t="s">
        <v>8</v>
      </c>
      <c r="T11" s="56" t="s">
        <v>8</v>
      </c>
      <c r="U11" s="57" t="s">
        <v>2</v>
      </c>
      <c r="V11" s="139"/>
      <c r="W11" s="135" t="s">
        <v>8</v>
      </c>
      <c r="X11" s="56" t="s">
        <v>8</v>
      </c>
      <c r="Y11" s="56" t="s">
        <v>8</v>
      </c>
      <c r="Z11" s="56" t="s">
        <v>8</v>
      </c>
      <c r="AA11" s="56" t="s">
        <v>8</v>
      </c>
      <c r="AB11" s="57" t="s">
        <v>71</v>
      </c>
      <c r="AC11" s="64"/>
      <c r="AD11" s="137"/>
      <c r="AE11" s="138"/>
    </row>
    <row r="12" spans="2:31" x14ac:dyDescent="0.45">
      <c r="B12" s="35" t="str">
        <f ca="1"/>
        <v>CNH</v>
      </c>
      <c r="D12" s="93" t="s">
        <v>455</v>
      </c>
      <c r="E12" s="87" t="s">
        <v>563</v>
      </c>
      <c r="F12" s="25"/>
      <c r="G12" s="80" t="s">
        <v>406</v>
      </c>
      <c r="H12" s="25" t="s">
        <v>403</v>
      </c>
      <c r="I12" t="s">
        <v>173</v>
      </c>
      <c r="J12" s="57" t="s">
        <v>87</v>
      </c>
      <c r="K12" s="58" t="s">
        <v>174</v>
      </c>
      <c r="L12" s="55" t="s">
        <v>8</v>
      </c>
      <c r="M12" s="59">
        <v>46448</v>
      </c>
      <c r="N12" s="57" t="s">
        <v>0</v>
      </c>
      <c r="O12" s="139">
        <v>100000000</v>
      </c>
      <c r="P12" s="135" t="s">
        <v>8</v>
      </c>
      <c r="Q12" s="57" t="s">
        <v>195</v>
      </c>
      <c r="R12" s="56" t="s">
        <v>8</v>
      </c>
      <c r="S12" s="56" t="s">
        <v>8</v>
      </c>
      <c r="T12" s="56" t="s">
        <v>8</v>
      </c>
      <c r="U12" s="57" t="s">
        <v>2</v>
      </c>
      <c r="V12" s="139"/>
      <c r="W12" s="135" t="s">
        <v>8</v>
      </c>
      <c r="X12" s="56" t="s">
        <v>8</v>
      </c>
      <c r="Y12" s="56" t="s">
        <v>8</v>
      </c>
      <c r="Z12" s="56" t="s">
        <v>8</v>
      </c>
      <c r="AA12" s="56" t="s">
        <v>8</v>
      </c>
      <c r="AB12" s="57" t="s">
        <v>71</v>
      </c>
      <c r="AC12" s="64"/>
      <c r="AD12" s="137"/>
      <c r="AE12" s="138"/>
    </row>
    <row r="13" spans="2:31" x14ac:dyDescent="0.45">
      <c r="B13" s="35" t="str">
        <f ca="1"/>
        <v>DKK</v>
      </c>
      <c r="D13" s="88" t="s">
        <v>77</v>
      </c>
      <c r="E13" s="89" t="s">
        <v>562</v>
      </c>
      <c r="F13" s="25"/>
      <c r="G13" s="78" t="s">
        <v>404</v>
      </c>
      <c r="H13" s="25" t="s">
        <v>403</v>
      </c>
      <c r="I13" t="s">
        <v>188</v>
      </c>
      <c r="J13" s="57" t="s">
        <v>87</v>
      </c>
      <c r="K13" s="58" t="s">
        <v>189</v>
      </c>
      <c r="L13" s="59">
        <v>44622</v>
      </c>
      <c r="M13" s="59">
        <v>46448</v>
      </c>
      <c r="N13" s="57" t="s">
        <v>0</v>
      </c>
      <c r="O13" s="139"/>
      <c r="P13" s="95">
        <v>0.02</v>
      </c>
      <c r="Q13" s="57" t="s">
        <v>190</v>
      </c>
      <c r="R13" s="57" t="s">
        <v>215</v>
      </c>
      <c r="S13" s="57"/>
      <c r="T13" s="57" t="s">
        <v>337</v>
      </c>
      <c r="U13" s="56" t="s">
        <v>8</v>
      </c>
      <c r="V13" s="141" t="s">
        <v>8</v>
      </c>
      <c r="W13" s="135" t="s">
        <v>8</v>
      </c>
      <c r="X13" s="56" t="s">
        <v>8</v>
      </c>
      <c r="Y13" s="56" t="s">
        <v>8</v>
      </c>
      <c r="Z13" s="56" t="s">
        <v>8</v>
      </c>
      <c r="AA13" s="56" t="s">
        <v>8</v>
      </c>
      <c r="AB13" s="57" t="s">
        <v>71</v>
      </c>
      <c r="AC13" s="64"/>
      <c r="AD13" s="137"/>
      <c r="AE13" s="138"/>
    </row>
    <row r="14" spans="2:31" x14ac:dyDescent="0.45">
      <c r="B14" s="35" t="str">
        <f ca="1"/>
        <v>EUR</v>
      </c>
      <c r="F14" s="25"/>
      <c r="G14" s="78" t="s">
        <v>414</v>
      </c>
      <c r="H14" s="25" t="s">
        <v>403</v>
      </c>
      <c r="I14" t="s">
        <v>191</v>
      </c>
      <c r="J14" s="57" t="s">
        <v>87</v>
      </c>
      <c r="K14" s="58" t="s">
        <v>192</v>
      </c>
      <c r="L14" s="59">
        <v>44622</v>
      </c>
      <c r="M14" s="59">
        <v>46448</v>
      </c>
      <c r="N14" s="57" t="s">
        <v>0</v>
      </c>
      <c r="O14" s="139"/>
      <c r="P14" s="95">
        <v>0.02</v>
      </c>
      <c r="Q14" s="57" t="s">
        <v>193</v>
      </c>
      <c r="R14" s="57" t="s">
        <v>215</v>
      </c>
      <c r="S14" s="57"/>
      <c r="T14" s="57" t="s">
        <v>337</v>
      </c>
      <c r="U14" s="56" t="str">
        <f>N14</f>
        <v>EUR</v>
      </c>
      <c r="V14" s="141">
        <f>O14</f>
        <v>0</v>
      </c>
      <c r="W14" s="136" t="s">
        <v>8</v>
      </c>
      <c r="X14" s="54" t="s">
        <v>8</v>
      </c>
      <c r="Y14" s="57" t="s">
        <v>214</v>
      </c>
      <c r="Z14" s="57"/>
      <c r="AA14" s="57" t="s">
        <v>337</v>
      </c>
      <c r="AB14" s="57" t="s">
        <v>71</v>
      </c>
      <c r="AC14" s="64"/>
      <c r="AD14" s="137"/>
      <c r="AE14" s="138"/>
    </row>
    <row r="15" spans="2:31" x14ac:dyDescent="0.45">
      <c r="B15" s="35" t="str">
        <f ca="1"/>
        <v>GBP</v>
      </c>
      <c r="D15" t="s">
        <v>362</v>
      </c>
      <c r="F15" s="25"/>
      <c r="G15" s="78" t="s">
        <v>415</v>
      </c>
      <c r="H15" s="25" t="s">
        <v>403</v>
      </c>
      <c r="I15" t="s">
        <v>219</v>
      </c>
      <c r="J15" s="57" t="s">
        <v>87</v>
      </c>
      <c r="K15" s="58" t="s">
        <v>218</v>
      </c>
      <c r="L15" s="55" t="s">
        <v>8</v>
      </c>
      <c r="M15" s="59" t="s">
        <v>222</v>
      </c>
      <c r="N15" s="57" t="s">
        <v>0</v>
      </c>
      <c r="O15" s="139" t="s">
        <v>222</v>
      </c>
      <c r="P15" s="135" t="s">
        <v>8</v>
      </c>
      <c r="Q15" s="56" t="s">
        <v>8</v>
      </c>
      <c r="R15" s="56" t="s">
        <v>8</v>
      </c>
      <c r="S15" s="56" t="s">
        <v>8</v>
      </c>
      <c r="T15" s="56" t="s">
        <v>8</v>
      </c>
      <c r="U15" s="56" t="s">
        <v>8</v>
      </c>
      <c r="V15" s="141" t="s">
        <v>8</v>
      </c>
      <c r="W15" s="135" t="s">
        <v>8</v>
      </c>
      <c r="X15" s="56" t="s">
        <v>8</v>
      </c>
      <c r="Y15" s="56" t="s">
        <v>8</v>
      </c>
      <c r="Z15" s="56" t="s">
        <v>8</v>
      </c>
      <c r="AA15" s="56" t="s">
        <v>8</v>
      </c>
      <c r="AB15" s="57" t="s">
        <v>71</v>
      </c>
      <c r="AC15" s="64"/>
      <c r="AD15" s="137"/>
      <c r="AE15" s="138"/>
    </row>
    <row r="16" spans="2:31" x14ac:dyDescent="0.45">
      <c r="B16" s="35" t="str">
        <f ca="1"/>
        <v>HKD</v>
      </c>
      <c r="D16" t="s">
        <v>363</v>
      </c>
      <c r="F16" s="25"/>
      <c r="G16" s="78" t="s">
        <v>403</v>
      </c>
      <c r="H16" s="25" t="s">
        <v>403</v>
      </c>
      <c r="I16" s="25" t="s">
        <v>480</v>
      </c>
      <c r="J16" s="57" t="s">
        <v>87</v>
      </c>
      <c r="K16" s="58" t="s">
        <v>479</v>
      </c>
      <c r="L16" s="55" t="s">
        <v>8</v>
      </c>
      <c r="M16" s="59" t="s">
        <v>222</v>
      </c>
      <c r="N16" s="57" t="s">
        <v>0</v>
      </c>
      <c r="O16" s="139" t="s">
        <v>222</v>
      </c>
      <c r="P16" s="135" t="s">
        <v>8</v>
      </c>
      <c r="Q16" s="57" t="s">
        <v>195</v>
      </c>
      <c r="R16" s="56" t="s">
        <v>8</v>
      </c>
      <c r="S16" s="56" t="s">
        <v>8</v>
      </c>
      <c r="T16" s="56" t="s">
        <v>8</v>
      </c>
      <c r="U16" s="57" t="s">
        <v>2</v>
      </c>
      <c r="V16" s="139" t="s">
        <v>222</v>
      </c>
      <c r="W16" s="135" t="s">
        <v>8</v>
      </c>
      <c r="X16" s="56" t="s">
        <v>8</v>
      </c>
      <c r="Y16" s="56" t="s">
        <v>8</v>
      </c>
      <c r="Z16" s="56" t="s">
        <v>8</v>
      </c>
      <c r="AA16" s="56" t="s">
        <v>8</v>
      </c>
      <c r="AB16" s="57" t="s">
        <v>71</v>
      </c>
      <c r="AC16" s="64"/>
      <c r="AD16" s="137"/>
      <c r="AE16" s="138"/>
    </row>
    <row r="17" spans="2:31" x14ac:dyDescent="0.45">
      <c r="B17" s="35" t="str">
        <f ca="1"/>
        <v>IDR</v>
      </c>
      <c r="D17" s="69" t="s">
        <v>359</v>
      </c>
      <c r="E17" s="70" t="b">
        <v>1</v>
      </c>
      <c r="F17" s="25"/>
      <c r="G17" s="78" t="s">
        <v>407</v>
      </c>
      <c r="H17" s="25" t="s">
        <v>403</v>
      </c>
      <c r="I17" s="25" t="s">
        <v>492</v>
      </c>
      <c r="J17" s="57" t="s">
        <v>87</v>
      </c>
      <c r="K17" s="58" t="s">
        <v>493</v>
      </c>
      <c r="L17" s="55" t="s">
        <v>8</v>
      </c>
      <c r="M17" s="59" t="s">
        <v>222</v>
      </c>
      <c r="N17" s="57" t="s">
        <v>0</v>
      </c>
      <c r="O17" s="139" t="s">
        <v>222</v>
      </c>
      <c r="P17" s="135" t="s">
        <v>8</v>
      </c>
      <c r="Q17" s="56" t="s">
        <v>8</v>
      </c>
      <c r="R17" s="56" t="s">
        <v>8</v>
      </c>
      <c r="S17" s="56" t="s">
        <v>8</v>
      </c>
      <c r="T17" s="56" t="s">
        <v>8</v>
      </c>
      <c r="U17" s="57" t="s">
        <v>2</v>
      </c>
      <c r="V17" s="139" t="s">
        <v>222</v>
      </c>
      <c r="W17" s="135" t="s">
        <v>8</v>
      </c>
      <c r="X17" s="56" t="s">
        <v>8</v>
      </c>
      <c r="Y17" s="56" t="s">
        <v>8</v>
      </c>
      <c r="Z17" s="56" t="s">
        <v>8</v>
      </c>
      <c r="AA17" s="56" t="s">
        <v>8</v>
      </c>
      <c r="AB17" s="57" t="s">
        <v>71</v>
      </c>
      <c r="AC17" s="64"/>
      <c r="AD17" s="137"/>
      <c r="AE17" s="138"/>
    </row>
    <row r="18" spans="2:31" x14ac:dyDescent="0.45">
      <c r="B18" s="35" t="str">
        <f ca="1"/>
        <v>INR</v>
      </c>
      <c r="D18" s="69" t="s">
        <v>361</v>
      </c>
      <c r="E18" s="70" t="b">
        <v>1</v>
      </c>
      <c r="G18" s="78" t="s">
        <v>404</v>
      </c>
      <c r="H18" s="25" t="s">
        <v>403</v>
      </c>
      <c r="I18" s="25" t="s">
        <v>591</v>
      </c>
      <c r="J18" s="57" t="s">
        <v>87</v>
      </c>
      <c r="K18" s="58" t="s">
        <v>590</v>
      </c>
      <c r="L18" s="59">
        <v>44622</v>
      </c>
      <c r="M18" s="59">
        <v>46448</v>
      </c>
      <c r="N18" s="57" t="s">
        <v>612</v>
      </c>
      <c r="O18" s="139">
        <v>100000000</v>
      </c>
      <c r="P18" s="95">
        <v>0.02</v>
      </c>
      <c r="Q18" s="57" t="s">
        <v>197</v>
      </c>
      <c r="R18" s="56" t="s">
        <v>8</v>
      </c>
      <c r="S18" s="56" t="s">
        <v>8</v>
      </c>
      <c r="T18" s="57" t="s">
        <v>337</v>
      </c>
      <c r="U18" s="56" t="s">
        <v>8</v>
      </c>
      <c r="V18" s="140">
        <f>O18</f>
        <v>100000000</v>
      </c>
      <c r="W18" s="96"/>
      <c r="X18" s="54" t="str">
        <f>IF(Q18="Fixed","Index","Fixed")</f>
        <v>Index</v>
      </c>
      <c r="Y18" s="56" t="s">
        <v>8</v>
      </c>
      <c r="Z18" s="56" t="s">
        <v>8</v>
      </c>
      <c r="AA18" s="54" t="str">
        <f>T18</f>
        <v>Mod Foll</v>
      </c>
      <c r="AB18" s="57" t="s">
        <v>71</v>
      </c>
      <c r="AC18" s="64"/>
      <c r="AD18" s="137"/>
      <c r="AE18" s="138"/>
    </row>
    <row r="19" spans="2:31" x14ac:dyDescent="0.45">
      <c r="B19" s="35" t="str">
        <f ca="1"/>
        <v>IRR</v>
      </c>
      <c r="G19" s="78" t="s">
        <v>416</v>
      </c>
      <c r="H19" s="25" t="s">
        <v>403</v>
      </c>
      <c r="I19" s="25" t="s">
        <v>592</v>
      </c>
      <c r="J19" s="57" t="s">
        <v>87</v>
      </c>
      <c r="K19" s="58" t="s">
        <v>593</v>
      </c>
      <c r="L19" s="59">
        <v>44622</v>
      </c>
      <c r="M19" s="59">
        <v>46448</v>
      </c>
      <c r="N19" s="57" t="s">
        <v>612</v>
      </c>
      <c r="O19" s="139">
        <v>100000000</v>
      </c>
      <c r="P19" s="96">
        <v>0.02</v>
      </c>
      <c r="Q19" s="57" t="s">
        <v>614</v>
      </c>
      <c r="R19" s="57" t="s">
        <v>213</v>
      </c>
      <c r="S19" s="57" t="s">
        <v>412</v>
      </c>
      <c r="T19" s="57" t="s">
        <v>337</v>
      </c>
      <c r="U19" s="57" t="s">
        <v>1</v>
      </c>
      <c r="V19" s="140">
        <f>O19</f>
        <v>100000000</v>
      </c>
      <c r="W19" s="95">
        <v>0.02</v>
      </c>
      <c r="X19" s="57" t="str">
        <f>IF(Q19="Fixed","Index","Fixed")</f>
        <v>Fixed</v>
      </c>
      <c r="Y19" s="57" t="s">
        <v>213</v>
      </c>
      <c r="Z19" s="57" t="s">
        <v>412</v>
      </c>
      <c r="AA19" s="57" t="s">
        <v>337</v>
      </c>
      <c r="AB19" s="57" t="s">
        <v>71</v>
      </c>
      <c r="AC19" s="64"/>
      <c r="AD19" s="137"/>
      <c r="AE19" s="138"/>
    </row>
    <row r="20" spans="2:31" x14ac:dyDescent="0.45">
      <c r="B20" s="35" t="str">
        <f ca="1"/>
        <v>JPY</v>
      </c>
      <c r="G20" s="78" t="s">
        <v>417</v>
      </c>
      <c r="H20" s="25" t="s">
        <v>403</v>
      </c>
    </row>
    <row r="21" spans="2:31" x14ac:dyDescent="0.45">
      <c r="B21" s="35" t="str">
        <f ca="1"/>
        <v>KRW</v>
      </c>
      <c r="G21" s="78" t="s">
        <v>403</v>
      </c>
      <c r="H21" s="25" t="s">
        <v>403</v>
      </c>
    </row>
    <row r="22" spans="2:31" x14ac:dyDescent="0.45">
      <c r="B22" s="35" t="str">
        <f ca="1"/>
        <v>MXN</v>
      </c>
      <c r="G22" s="79" t="s">
        <v>339</v>
      </c>
      <c r="H22" s="25" t="s">
        <v>403</v>
      </c>
      <c r="J22" s="20"/>
    </row>
    <row r="23" spans="2:31" x14ac:dyDescent="0.45">
      <c r="B23" s="35" t="str">
        <f ca="1"/>
        <v>NGN</v>
      </c>
      <c r="G23" s="78" t="s">
        <v>408</v>
      </c>
      <c r="H23" s="25" t="s">
        <v>403</v>
      </c>
      <c r="J23" s="20"/>
    </row>
    <row r="24" spans="2:31" x14ac:dyDescent="0.45">
      <c r="B24" s="35" t="str">
        <f ca="1"/>
        <v>NOK</v>
      </c>
      <c r="G24" s="78" t="s">
        <v>403</v>
      </c>
      <c r="H24" s="25" t="s">
        <v>403</v>
      </c>
    </row>
    <row r="25" spans="2:31" x14ac:dyDescent="0.45">
      <c r="B25" s="35" t="str">
        <f ca="1"/>
        <v>OMR</v>
      </c>
      <c r="G25" s="78" t="s">
        <v>372</v>
      </c>
      <c r="H25" s="25" t="s">
        <v>403</v>
      </c>
    </row>
    <row r="26" spans="2:31" x14ac:dyDescent="0.45">
      <c r="B26" s="35" t="str">
        <f ca="1"/>
        <v>PLN</v>
      </c>
      <c r="G26" s="78" t="s">
        <v>409</v>
      </c>
      <c r="H26" s="25" t="s">
        <v>403</v>
      </c>
    </row>
    <row r="27" spans="2:31" x14ac:dyDescent="0.45">
      <c r="B27" s="35" t="str">
        <f ca="1"/>
        <v>QAR</v>
      </c>
      <c r="G27" s="78" t="s">
        <v>403</v>
      </c>
      <c r="H27" s="25" t="s">
        <v>403</v>
      </c>
    </row>
    <row r="28" spans="2:31" x14ac:dyDescent="0.45">
      <c r="B28" s="35" t="str">
        <f ca="1"/>
        <v>RUB</v>
      </c>
      <c r="G28" s="79" t="s">
        <v>410</v>
      </c>
      <c r="H28" s="25" t="s">
        <v>403</v>
      </c>
    </row>
    <row r="29" spans="2:31" x14ac:dyDescent="0.45">
      <c r="B29" s="35" t="str">
        <f ca="1"/>
        <v>SAR</v>
      </c>
      <c r="G29" s="78" t="s">
        <v>421</v>
      </c>
      <c r="H29" s="25" t="s">
        <v>403</v>
      </c>
    </row>
    <row r="30" spans="2:31" x14ac:dyDescent="0.45">
      <c r="B30" s="35" t="str">
        <f ca="1"/>
        <v>SEK</v>
      </c>
      <c r="G30" s="78" t="s">
        <v>403</v>
      </c>
      <c r="H30" s="25" t="s">
        <v>403</v>
      </c>
    </row>
    <row r="31" spans="2:31" x14ac:dyDescent="0.45">
      <c r="B31" s="35" t="str">
        <f ca="1"/>
        <v>SGD</v>
      </c>
      <c r="G31" s="78" t="s">
        <v>401</v>
      </c>
      <c r="H31" s="25" t="s">
        <v>403</v>
      </c>
    </row>
    <row r="32" spans="2:31" x14ac:dyDescent="0.45">
      <c r="B32" s="35" t="str">
        <f ca="1"/>
        <v>THB</v>
      </c>
      <c r="G32" s="78" t="s">
        <v>420</v>
      </c>
      <c r="H32" s="25" t="s">
        <v>403</v>
      </c>
    </row>
    <row r="33" spans="2:8" x14ac:dyDescent="0.45">
      <c r="B33" s="35" t="str">
        <f ca="1"/>
        <v>TRY</v>
      </c>
      <c r="G33" s="78" t="s">
        <v>418</v>
      </c>
      <c r="H33" s="25" t="s">
        <v>403</v>
      </c>
    </row>
    <row r="34" spans="2:8" x14ac:dyDescent="0.45">
      <c r="B34" s="35" t="str">
        <f ca="1"/>
        <v>TWD</v>
      </c>
      <c r="G34" s="78" t="s">
        <v>411</v>
      </c>
      <c r="H34" s="25" t="s">
        <v>403</v>
      </c>
    </row>
    <row r="35" spans="2:8" x14ac:dyDescent="0.45">
      <c r="B35" s="35" t="str">
        <f ca="1"/>
        <v>USD</v>
      </c>
      <c r="G35" s="78" t="s">
        <v>403</v>
      </c>
      <c r="H35" s="25" t="s">
        <v>403</v>
      </c>
    </row>
    <row r="36" spans="2:8" x14ac:dyDescent="0.45">
      <c r="B36" s="35" t="e">
        <f ca="1"/>
        <v>#N/A</v>
      </c>
      <c r="G36" s="79" t="s">
        <v>412</v>
      </c>
      <c r="H36" s="25" t="s">
        <v>403</v>
      </c>
    </row>
    <row r="37" spans="2:8" x14ac:dyDescent="0.45">
      <c r="B37" s="35" t="e">
        <f ca="1"/>
        <v>#N/A</v>
      </c>
      <c r="G37" s="81" t="s">
        <v>419</v>
      </c>
      <c r="H37" s="25" t="s">
        <v>403</v>
      </c>
    </row>
    <row r="38" spans="2:8" x14ac:dyDescent="0.45">
      <c r="B38" s="35" t="e">
        <f ca="1"/>
        <v>#N/A</v>
      </c>
    </row>
    <row r="39" spans="2:8" x14ac:dyDescent="0.45">
      <c r="B39" s="35" t="e">
        <f ca="1"/>
        <v>#N/A</v>
      </c>
    </row>
    <row r="40" spans="2:8" x14ac:dyDescent="0.45">
      <c r="B40" s="35" t="e">
        <f ca="1"/>
        <v>#N/A</v>
      </c>
    </row>
    <row r="41" spans="2:8" x14ac:dyDescent="0.45">
      <c r="B41" s="35" t="e">
        <f ca="1"/>
        <v>#N/A</v>
      </c>
    </row>
    <row r="42" spans="2:8" x14ac:dyDescent="0.45">
      <c r="B42" s="35" t="e">
        <f ca="1"/>
        <v>#N/A</v>
      </c>
    </row>
    <row r="43" spans="2:8" x14ac:dyDescent="0.45">
      <c r="B43" s="35" t="e">
        <f ca="1"/>
        <v>#N/A</v>
      </c>
    </row>
    <row r="44" spans="2:8" x14ac:dyDescent="0.45">
      <c r="B44" s="36" t="e">
        <f ca="1"/>
        <v>#N/A</v>
      </c>
    </row>
  </sheetData>
  <sheetProtection sheet="1" objects="1" scenarios="1"/>
  <sortState xmlns:xlrd2="http://schemas.microsoft.com/office/spreadsheetml/2017/richdata2" ref="L10:M38">
    <sortCondition ref="M10:M38"/>
  </sortState>
  <conditionalFormatting sqref="AB9:AB19">
    <cfRule type="cellIs" dxfId="10" priority="4" operator="equal">
      <formula>"??"</formula>
    </cfRule>
    <cfRule type="cellIs" dxfId="9" priority="5" operator="equal">
      <formula>"WHATIF"</formula>
    </cfRule>
  </conditionalFormatting>
  <conditionalFormatting sqref="M15 O15">
    <cfRule type="cellIs" dxfId="8" priority="3" operator="equal">
      <formula>"Double-click me!"</formula>
    </cfRule>
  </conditionalFormatting>
  <conditionalFormatting sqref="M16 O16 V16">
    <cfRule type="cellIs" dxfId="7" priority="2" operator="equal">
      <formula>"Double-click me!"</formula>
    </cfRule>
  </conditionalFormatting>
  <conditionalFormatting sqref="M17 O17 V17">
    <cfRule type="cellIs" dxfId="6" priority="1" operator="equal">
      <formula>"Double-click me!"</formula>
    </cfRule>
  </conditionalFormatting>
  <dataValidations disablePrompts="1" count="8">
    <dataValidation type="list" errorStyle="information" allowBlank="1" showDropDown="1" showInputMessage="1" showErrorMessage="1" errorTitle="XVAFrontEnd" error="That's not a valid Currency._x000a__x000a_Double-click to see what is allowed." sqref="U9:U19 N9:N17" xr:uid="{5863455B-658F-4CB5-959B-2F352867B632}">
      <formula1>"AED,ARS,AUD,BRL,CAD,CHF,CLP,CNH,DKK,EUR,GBP,HKD,IDR,INR,IRR,JPY,KRW,MXN,NGN,NOK,OMR,PLN,QAR,RUB,SAR,SEK,SGD,THB,TRY,TWD,USD"</formula1>
    </dataValidation>
    <dataValidation type="list" errorStyle="information" allowBlank="1" showDropDown="1" showInputMessage="1" showErrorMessage="1" errorTitle="XVAFrontEnd" error="That's not a valid inflation index._x000a__x000a_Double-click to see what is allowed." sqref="N18" xr:uid="{82D35553-492F-43AB-B68E-BBBCE4A25EED}">
      <formula1>"EuroHICPxT,FrenchCPIxT,UKRPI,USCPI"</formula1>
    </dataValidation>
    <dataValidation type="list" errorStyle="information" allowBlank="1" showDropDown="1" showInputMessage="1" showErrorMessage="1" errorTitle="XVAFrontEnd" error="That's not a valid Currency or Inflation Index._x000a__x000a_Double-click to see what is allowed." sqref="N19" xr:uid="{87506AB9-E7E7-426F-B6C2-9B11969F3DB3}">
      <formula1>"AED,ARS,AUD,BRL,CAD,CHF,CLP,CNH,DKK,EUR,EuroHICPxT,FrenchCPIxT,GBP,HKD,IDR,INR,IRR,JPY,KRW,MXN,NGN,NOK,OMR,PLN,QAR,RUB,SAR,SEK,SGD,THB,TRY,TWD,UKRPI,USCPI,USD"</formula1>
    </dataValidation>
    <dataValidation type="list" errorStyle="information" allowBlank="1" showDropDown="1" showInputMessage="1" showErrorMessage="1" errorTitle="XVAFrontEnd" error="That's not a valid payment frequency._x000a__x000a_Double-click to see what is allowed." sqref="R9:R19 Y9:Y19" xr:uid="{4310F9FB-4A1A-4235-8778-44BE09720C15}">
      <formula1>"Annual,Ann,A,Semi annual,Semi-annual,Semi,S,Quarterly,Quarter,Quart,Q,Monthly,Month,M"</formula1>
    </dataValidation>
    <dataValidation type="list" errorStyle="information" allowBlank="1" showDropDown="1" showInputMessage="1" showErrorMessage="1" errorTitle="XVAFrontEnd" error="That's not a valid day count type._x000a__x000a_Double-click to see what is allowed." sqref="S9:S19 Z9:Z19" xr:uid="{14932B08-1C4D-47B4-A2E4-6807D08DA065}">
      <formula1>"30/360,30E/360,30E/360 (ISDA),A/360,A/365F,Act/Act,Act/365L,ActB/ActB"</formula1>
    </dataValidation>
    <dataValidation type="list" errorStyle="information" allowBlank="1" showDropDown="1" showInputMessage="1" showErrorMessage="1" errorTitle="XVAFrontEnd" error="That's not a valid business day convention._x000a__x000a_Double-click to see what is allowed." sqref="T9:T19 AA9:AA19" xr:uid="{370D805C-EC6C-42FF-9B63-F1650F3849F2}">
      <formula1>"Mod Foll,Foll,Mod Prec,Prec,None"</formula1>
    </dataValidation>
    <dataValidation allowBlank="1" showInputMessage="1" showErrorMessage="1" prompt="Double-click for amortising_x000a_K  = 000_x000a_M = 000,000_x000a_" sqref="O9:O10" xr:uid="{69273E41-50C5-463C-B6A7-C15CF1C67046}"/>
    <dataValidation allowBlank="1" showInputMessage="1" showErrorMessage="1" prompt="Date or text such as '5Y', '18M'" sqref="L18:M19 L13:L14 L9:L10 M9:M14" xr:uid="{0B54BB87-FD87-4459-B8DB-8BD3BFB192D5}"/>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FormatTradeTemplates">
                <anchor moveWithCells="1" sizeWithCells="1">
                  <from>
                    <xdr:col>8</xdr:col>
                    <xdr:colOff>1181100</xdr:colOff>
                    <xdr:row>0</xdr:row>
                    <xdr:rowOff>0</xdr:rowOff>
                  </from>
                  <to>
                    <xdr:col>10</xdr:col>
                    <xdr:colOff>900113</xdr:colOff>
                    <xdr:row>0</xdr:row>
                    <xdr:rowOff>290513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CashflowDrilldown"/>
  <dimension ref="A1"/>
  <sheetViews>
    <sheetView showGridLines="0" showRowColHeaders="0" workbookViewId="0">
      <selection activeCell="C4" sqref="C4"/>
    </sheetView>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CounterpartyViewer"/>
  <dimension ref="B1:G34"/>
  <sheetViews>
    <sheetView showGridLines="0" showRowColHeaders="0" zoomScaleNormal="100" workbookViewId="0"/>
  </sheetViews>
  <sheetFormatPr defaultRowHeight="14.25" x14ac:dyDescent="0.45"/>
  <cols>
    <col min="1" max="1" width="2.53125" customWidth="1"/>
    <col min="2" max="2" width="11.46484375" customWidth="1"/>
    <col min="3" max="3" width="18.86328125" customWidth="1"/>
    <col min="4" max="5" width="12.53125" customWidth="1"/>
    <col min="6" max="6" width="13.53125" customWidth="1"/>
    <col min="7" max="7" width="14" customWidth="1"/>
    <col min="8" max="8" width="6.86328125" customWidth="1"/>
    <col min="9" max="10" width="10.53125" customWidth="1"/>
    <col min="12" max="12" width="2.6640625" customWidth="1"/>
    <col min="13" max="13" width="8.6640625" customWidth="1"/>
    <col min="14" max="14" width="11.33203125" customWidth="1"/>
    <col min="15" max="15" width="13.33203125" customWidth="1"/>
    <col min="16" max="16" width="10.33203125" customWidth="1"/>
    <col min="17" max="17" width="9.33203125" customWidth="1"/>
    <col min="18" max="18" width="11.53125" customWidth="1"/>
    <col min="19" max="20" width="5.33203125" customWidth="1"/>
    <col min="21" max="22" width="4.86328125" customWidth="1"/>
    <col min="23" max="23" width="5.1328125" customWidth="1"/>
    <col min="24" max="24" width="2.6640625" customWidth="1"/>
    <col min="25" max="25" width="7.1328125" customWidth="1"/>
    <col min="26" max="26" width="12.6640625" customWidth="1"/>
    <col min="27" max="27" width="10.33203125" customWidth="1"/>
    <col min="28" max="28" width="10.6640625" customWidth="1"/>
    <col min="29" max="29" width="10.33203125" customWidth="1"/>
    <col min="30" max="30" width="8.86328125" customWidth="1"/>
    <col min="31" max="31" width="12.53125" customWidth="1"/>
    <col min="32" max="32" width="2.6640625" customWidth="1"/>
    <col min="33" max="33" width="7.1328125" customWidth="1"/>
    <col min="34" max="34" width="12.33203125" customWidth="1"/>
    <col min="35" max="35" width="11.1328125" customWidth="1"/>
    <col min="36" max="36" width="12.1328125" customWidth="1"/>
    <col min="37" max="38" width="11.1328125" customWidth="1"/>
    <col min="39" max="39" width="11.33203125" customWidth="1"/>
    <col min="40" max="42" width="12.1328125" customWidth="1"/>
    <col min="43" max="43" width="11.33203125" customWidth="1"/>
    <col min="44" max="44" width="12.1328125" customWidth="1"/>
    <col min="45" max="45" width="11.1328125" customWidth="1"/>
    <col min="46" max="46" width="12.1328125" customWidth="1"/>
    <col min="47" max="47" width="11.1328125" customWidth="1"/>
    <col min="48" max="50" width="12.1328125" customWidth="1"/>
    <col min="51" max="52" width="11.33203125" customWidth="1"/>
    <col min="53" max="54" width="12.1328125" customWidth="1"/>
    <col min="55" max="55" width="11.33203125" customWidth="1"/>
    <col min="56" max="59" width="12.1328125" customWidth="1"/>
    <col min="60" max="60" width="11.33203125" customWidth="1"/>
    <col min="61" max="62" width="12.1328125" customWidth="1"/>
    <col min="63" max="63" width="11.33203125" customWidth="1"/>
    <col min="64" max="64" width="12.1328125" customWidth="1"/>
    <col min="65" max="65" width="11.33203125" customWidth="1"/>
    <col min="66" max="70" width="12.1328125" customWidth="1"/>
    <col min="71" max="71" width="11.33203125" customWidth="1"/>
    <col min="72" max="72" width="12.1328125" customWidth="1"/>
    <col min="73" max="73" width="11.1328125" customWidth="1"/>
    <col min="74" max="74" width="12.1328125" customWidth="1"/>
    <col min="75" max="75" width="11.1328125" customWidth="1"/>
    <col min="76" max="76" width="12.1328125" customWidth="1"/>
    <col min="77" max="77" width="10.33203125" customWidth="1"/>
    <col min="78" max="78" width="12.1328125" customWidth="1"/>
    <col min="79" max="79" width="11.33203125" customWidth="1"/>
    <col min="80" max="82" width="12.1328125" customWidth="1"/>
    <col min="83" max="83" width="11.33203125" customWidth="1"/>
    <col min="84" max="84" width="10.33203125" customWidth="1"/>
    <col min="85" max="86" width="12.1328125" customWidth="1"/>
    <col min="87" max="87" width="11.33203125" customWidth="1"/>
    <col min="88" max="90" width="12.1328125" customWidth="1"/>
    <col min="91" max="91" width="11.33203125" customWidth="1"/>
    <col min="92" max="92" width="12.1328125" customWidth="1"/>
    <col min="93" max="93" width="11.33203125" customWidth="1"/>
    <col min="94" max="95" width="12.1328125" customWidth="1"/>
    <col min="96" max="96" width="11.33203125" customWidth="1"/>
    <col min="97" max="102" width="12.1328125" customWidth="1"/>
    <col min="103" max="103" width="11.33203125" customWidth="1"/>
    <col min="104" max="104" width="12.1328125" customWidth="1"/>
    <col min="105" max="105" width="11.33203125" customWidth="1"/>
    <col min="106" max="106" width="12.1328125" customWidth="1"/>
    <col min="107" max="107" width="11.1328125" customWidth="1"/>
    <col min="108" max="109" width="11.33203125" customWidth="1"/>
    <col min="110" max="110" width="12.1328125" customWidth="1"/>
    <col min="111" max="111" width="11.33203125" customWidth="1"/>
    <col min="112" max="114" width="12.1328125" customWidth="1"/>
    <col min="115" max="115" width="11.33203125" customWidth="1"/>
    <col min="116" max="116" width="11.1328125" customWidth="1"/>
    <col min="117" max="117" width="11.33203125" customWidth="1"/>
    <col min="118" max="118" width="12.1328125" customWidth="1"/>
    <col min="119" max="119" width="11.33203125" customWidth="1"/>
    <col min="120" max="120" width="12.1328125" customWidth="1"/>
    <col min="121" max="121" width="11.1328125" customWidth="1"/>
    <col min="122" max="122" width="12.1328125" customWidth="1"/>
    <col min="123" max="123" width="11.33203125" customWidth="1"/>
    <col min="124" max="124" width="12.1328125" customWidth="1"/>
    <col min="125" max="125" width="11.1328125" customWidth="1"/>
    <col min="126" max="126" width="12.1328125" customWidth="1"/>
    <col min="127" max="128" width="11.33203125" customWidth="1"/>
    <col min="129" max="130" width="12.1328125" customWidth="1"/>
    <col min="131" max="131" width="11.33203125" customWidth="1"/>
    <col min="132" max="132" width="12.1328125" customWidth="1"/>
    <col min="133" max="133" width="11.33203125" customWidth="1"/>
    <col min="134" max="134" width="11.1328125" customWidth="1"/>
    <col min="135" max="135" width="11.33203125" customWidth="1"/>
    <col min="136" max="138" width="12.1328125" customWidth="1"/>
    <col min="139" max="141" width="11.33203125" customWidth="1"/>
    <col min="142" max="142" width="12.1328125" customWidth="1"/>
    <col min="143" max="143" width="11.33203125" customWidth="1"/>
    <col min="144" max="144" width="11.1328125" customWidth="1"/>
    <col min="145" max="146" width="12.1328125" customWidth="1"/>
    <col min="147" max="147" width="11.33203125" customWidth="1"/>
    <col min="148" max="150" width="12.1328125" customWidth="1"/>
    <col min="151" max="153" width="11.33203125" customWidth="1"/>
    <col min="154" max="155" width="12.1328125" customWidth="1"/>
    <col min="156" max="156" width="11.33203125" customWidth="1"/>
    <col min="157" max="158" width="12.1328125" customWidth="1"/>
    <col min="159" max="159" width="11.33203125" customWidth="1"/>
    <col min="160" max="162" width="12.1328125" customWidth="1"/>
    <col min="163" max="163" width="11.33203125" customWidth="1"/>
    <col min="164" max="164" width="12.1328125" customWidth="1"/>
    <col min="165" max="165" width="11.33203125" customWidth="1"/>
    <col min="166" max="167" width="12.1328125" customWidth="1"/>
    <col min="168" max="168" width="11.1328125" customWidth="1"/>
    <col min="169" max="170" width="12.1328125" customWidth="1"/>
    <col min="171" max="171" width="11.33203125" customWidth="1"/>
    <col min="172" max="174" width="12.1328125" customWidth="1"/>
    <col min="175" max="175" width="11.33203125" customWidth="1"/>
    <col min="176" max="176" width="11.1328125" customWidth="1"/>
    <col min="177" max="179" width="12.1328125" customWidth="1"/>
    <col min="180" max="181" width="11.33203125" customWidth="1"/>
    <col min="182" max="182" width="12.1328125" customWidth="1"/>
    <col min="183" max="183" width="11.33203125" customWidth="1"/>
    <col min="184" max="185" width="12.1328125" customWidth="1"/>
    <col min="186" max="186" width="11.1328125" customWidth="1"/>
    <col min="187" max="188" width="11.33203125" customWidth="1"/>
    <col min="189" max="190" width="12.1328125" customWidth="1"/>
    <col min="191" max="191" width="11.33203125" customWidth="1"/>
    <col min="192" max="195" width="12.1328125" customWidth="1"/>
    <col min="196" max="196" width="11.33203125" customWidth="1"/>
    <col min="197" max="198" width="12.1328125" customWidth="1"/>
    <col min="199" max="199" width="11.33203125" customWidth="1"/>
    <col min="200" max="200" width="12.1328125" customWidth="1"/>
    <col min="201" max="201" width="11.1328125" customWidth="1"/>
    <col min="202" max="202" width="12.1328125" customWidth="1"/>
    <col min="203" max="203" width="11.33203125" customWidth="1"/>
    <col min="204" max="206" width="12.1328125" customWidth="1"/>
    <col min="207" max="209" width="11.33203125" customWidth="1"/>
    <col min="210" max="212" width="12.1328125" customWidth="1"/>
    <col min="213" max="214" width="11.1328125" customWidth="1"/>
    <col min="215" max="215" width="11.33203125" customWidth="1"/>
    <col min="216" max="218" width="12.1328125" customWidth="1"/>
    <col min="219" max="219" width="11.33203125" customWidth="1"/>
    <col min="220" max="220" width="11.1328125" customWidth="1"/>
    <col min="221" max="221" width="11.33203125" customWidth="1"/>
    <col min="222" max="222" width="12.1328125" customWidth="1"/>
    <col min="223" max="223" width="11.1328125" customWidth="1"/>
    <col min="224" max="227" width="12.1328125" customWidth="1"/>
    <col min="228" max="228" width="11.33203125" customWidth="1"/>
    <col min="229" max="230" width="12.1328125" customWidth="1"/>
    <col min="231" max="231" width="11.33203125" customWidth="1"/>
    <col min="232" max="232" width="12.1328125" customWidth="1"/>
    <col min="233" max="233" width="11.33203125" customWidth="1"/>
    <col min="234" max="234" width="12.1328125" customWidth="1"/>
    <col min="235" max="235" width="11.33203125" customWidth="1"/>
    <col min="236" max="236" width="12.1328125" customWidth="1"/>
    <col min="237" max="237" width="11.1328125" customWidth="1"/>
    <col min="238" max="238" width="12.1328125" customWidth="1"/>
    <col min="239" max="239" width="11.33203125" customWidth="1"/>
    <col min="240" max="242" width="12.1328125" customWidth="1"/>
    <col min="243" max="243" width="11.33203125" customWidth="1"/>
    <col min="244" max="246" width="12.1328125" customWidth="1"/>
    <col min="247" max="247" width="11.33203125" customWidth="1"/>
    <col min="248" max="250" width="12.1328125" customWidth="1"/>
    <col min="251" max="251" width="11.33203125" customWidth="1"/>
    <col min="252" max="252" width="11.1328125" customWidth="1"/>
    <col min="253" max="255" width="11.33203125" customWidth="1"/>
    <col min="256" max="258" width="12.1328125" customWidth="1"/>
    <col min="259" max="259" width="11.33203125" customWidth="1"/>
    <col min="260" max="260" width="12.1328125" customWidth="1"/>
    <col min="261" max="261" width="11.1328125" customWidth="1"/>
    <col min="262" max="263" width="12.1328125" customWidth="1"/>
    <col min="264" max="264" width="11.33203125" customWidth="1"/>
    <col min="265" max="266" width="12.1328125" customWidth="1"/>
    <col min="267" max="269" width="11.33203125" customWidth="1"/>
    <col min="270" max="270" width="11.1328125" customWidth="1"/>
    <col min="271" max="271" width="11.33203125" customWidth="1"/>
    <col min="272" max="274" width="12.1328125" customWidth="1"/>
    <col min="275" max="276" width="11.1328125" customWidth="1"/>
    <col min="277" max="278" width="12.1328125" customWidth="1"/>
    <col min="279" max="279" width="11.33203125" customWidth="1"/>
    <col min="280" max="283" width="12.1328125" customWidth="1"/>
    <col min="284" max="284" width="11.33203125" customWidth="1"/>
    <col min="285" max="285" width="11.1328125" customWidth="1"/>
    <col min="286" max="286" width="12.1328125" customWidth="1"/>
    <col min="287" max="287" width="11.33203125" customWidth="1"/>
    <col min="288" max="288" width="12.1328125" customWidth="1"/>
    <col min="289" max="289" width="11.1328125" customWidth="1"/>
    <col min="290" max="290" width="2.86328125" customWidth="1"/>
  </cols>
  <sheetData>
    <row r="1" spans="2:7" ht="15" customHeight="1" x14ac:dyDescent="0.45"/>
    <row r="2" spans="2:7" ht="15" customHeight="1" x14ac:dyDescent="0.45"/>
    <row r="3" spans="2:7" ht="15" customHeight="1" x14ac:dyDescent="0.45"/>
    <row r="4" spans="2:7" ht="15" customHeight="1" x14ac:dyDescent="0.45"/>
    <row r="5" spans="2:7" ht="15" customHeight="1" x14ac:dyDescent="0.45"/>
    <row r="6" spans="2:7" ht="15" customHeight="1" x14ac:dyDescent="0.45">
      <c r="F6" s="50" t="s">
        <v>32</v>
      </c>
      <c r="G6" s="67" t="s">
        <v>1012</v>
      </c>
    </row>
    <row r="7" spans="2:7" ht="15" customHeight="1" x14ac:dyDescent="0.45">
      <c r="B7" s="168" t="s">
        <v>355</v>
      </c>
      <c r="C7" s="168"/>
      <c r="D7" s="168"/>
      <c r="E7" s="126"/>
      <c r="F7" s="21" t="s">
        <v>50</v>
      </c>
      <c r="G7" s="22" t="b">
        <v>0</v>
      </c>
    </row>
    <row r="8" spans="2:7" ht="15" customHeight="1" x14ac:dyDescent="0.45">
      <c r="B8" s="168"/>
      <c r="C8" s="168"/>
      <c r="D8" s="168"/>
      <c r="E8" s="126"/>
    </row>
    <row r="9" spans="2:7" ht="15" customHeight="1" x14ac:dyDescent="0.45"/>
    <row r="10" spans="2:7" ht="15" customHeight="1" x14ac:dyDescent="0.45"/>
    <row r="11" spans="2:7" ht="15" customHeight="1" x14ac:dyDescent="0.45"/>
    <row r="12" spans="2:7" ht="15" customHeight="1" x14ac:dyDescent="0.45"/>
    <row r="13" spans="2:7" ht="15" customHeight="1" x14ac:dyDescent="0.45"/>
    <row r="14" spans="2:7" ht="15" customHeight="1" x14ac:dyDescent="0.45"/>
    <row r="15" spans="2:7" ht="15" customHeight="1" x14ac:dyDescent="0.45"/>
    <row r="16" spans="2:7" ht="15" customHeight="1" x14ac:dyDescent="0.45"/>
    <row r="17" ht="15" customHeight="1" x14ac:dyDescent="0.45"/>
    <row r="18" ht="15" customHeight="1" x14ac:dyDescent="0.45"/>
    <row r="19" ht="15" customHeight="1" x14ac:dyDescent="0.45"/>
    <row r="20" ht="15" customHeight="1" x14ac:dyDescent="0.45"/>
    <row r="21" ht="15" customHeight="1" x14ac:dyDescent="0.45"/>
    <row r="22" ht="15" customHeight="1" x14ac:dyDescent="0.45"/>
    <row r="23" ht="15" customHeight="1" x14ac:dyDescent="0.45"/>
    <row r="24" ht="15" customHeight="1" x14ac:dyDescent="0.45"/>
    <row r="25" ht="15" customHeight="1" x14ac:dyDescent="0.45"/>
    <row r="26" ht="15" customHeight="1" x14ac:dyDescent="0.45"/>
    <row r="27" ht="15" customHeight="1" x14ac:dyDescent="0.45"/>
    <row r="28" ht="15" customHeight="1" x14ac:dyDescent="0.45"/>
    <row r="29" ht="15" customHeight="1" x14ac:dyDescent="0.45"/>
    <row r="30" ht="15" customHeight="1" x14ac:dyDescent="0.45"/>
    <row r="31" ht="15" customHeight="1" x14ac:dyDescent="0.45"/>
    <row r="32" ht="15" customHeight="1" x14ac:dyDescent="0.45"/>
    <row r="33" ht="15" customHeight="1" x14ac:dyDescent="0.45"/>
    <row r="34" ht="15" customHeight="1" x14ac:dyDescent="0.45"/>
  </sheetData>
  <sheetProtection sheet="1" objects="1" scenarios="1"/>
  <sortState xmlns:xlrd2="http://schemas.microsoft.com/office/spreadsheetml/2017/richdata2" ref="M11:W75">
    <sortCondition ref="M11:M75"/>
  </sortState>
  <mergeCells count="1">
    <mergeCell ref="B7:D8"/>
  </mergeCells>
  <dataValidations count="2">
    <dataValidation type="custom" allowBlank="1" showInputMessage="1" showErrorMessage="1" prompt="Double-click me" sqref="G7" xr:uid="{00000000-0002-0000-0400-000000000000}">
      <formula1>ISLOGICAL(G7)</formula1>
    </dataValidation>
    <dataValidation allowBlank="1" showInputMessage="1" showErrorMessage="1" prompt="Double-click me" sqref="G6" xr:uid="{00000000-0002-0000-0400-000001000000}"/>
  </dataValidations>
  <pageMargins left="0.7" right="0.7" top="0.75" bottom="0.75" header="0.3" footer="0.3"/>
  <pageSetup paperSize="9" orientation="portrait" horizontalDpi="4294967293"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radeViewer"/>
  <dimension ref="B1:G377"/>
  <sheetViews>
    <sheetView showGridLines="0" showRowColHeaders="0" zoomScaleNormal="100" workbookViewId="0"/>
  </sheetViews>
  <sheetFormatPr defaultColWidth="9.1328125" defaultRowHeight="14.25" x14ac:dyDescent="0.45"/>
  <cols>
    <col min="1" max="1" width="2.53125" customWidth="1"/>
    <col min="2" max="2" width="8.53125" customWidth="1"/>
    <col min="3" max="3" width="12.1328125" customWidth="1"/>
    <col min="4" max="4" width="9" customWidth="1"/>
    <col min="5" max="5" width="12.53125" style="3" customWidth="1"/>
    <col min="6" max="7" width="12.53125" customWidth="1"/>
    <col min="8" max="8" width="2.53125" customWidth="1"/>
    <col min="9" max="9" width="12.33203125" customWidth="1"/>
    <col min="10" max="10" width="16.86328125" customWidth="1"/>
    <col min="11" max="11" width="2.53125" customWidth="1"/>
    <col min="12" max="12" width="20.53125" customWidth="1"/>
    <col min="13" max="13" width="2.86328125" customWidth="1"/>
    <col min="14" max="14" width="12.33203125" customWidth="1"/>
    <col min="15" max="15" width="16.1328125" customWidth="1"/>
    <col min="16" max="16" width="2.86328125" customWidth="1"/>
    <col min="17" max="17" width="7.1328125" customWidth="1"/>
    <col min="18" max="18" width="12.33203125" customWidth="1"/>
    <col min="19" max="19" width="10" customWidth="1"/>
    <col min="20" max="20" width="10.33203125" customWidth="1"/>
    <col min="21" max="21" width="9.86328125" customWidth="1"/>
    <col min="22" max="22" width="8.53125" customWidth="1"/>
    <col min="23" max="23" width="12.46484375" customWidth="1"/>
    <col min="24" max="24" width="2.86328125" customWidth="1"/>
    <col min="25" max="25" width="10.1328125" customWidth="1"/>
    <col min="26" max="26" width="8.53125" customWidth="1"/>
    <col min="27" max="27" width="10.1328125" customWidth="1"/>
    <col min="28" max="28" width="9.33203125" customWidth="1"/>
    <col min="29" max="31" width="10.1328125" customWidth="1"/>
    <col min="32" max="32" width="9.33203125" customWidth="1"/>
    <col min="33" max="33" width="10.1328125" customWidth="1"/>
    <col min="34" max="34" width="8.53125" customWidth="1"/>
    <col min="35" max="35" width="10.1328125" customWidth="1"/>
    <col min="36" max="36" width="9.33203125" customWidth="1"/>
    <col min="37" max="37" width="8.53125" customWidth="1"/>
    <col min="38" max="38" width="9.33203125" customWidth="1"/>
    <col min="39" max="39" width="10.1328125" customWidth="1"/>
    <col min="40" max="40" width="9.33203125" customWidth="1"/>
    <col min="41" max="42" width="8.53125" customWidth="1"/>
    <col min="43" max="43" width="10.1328125" customWidth="1"/>
    <col min="44" max="44" width="9.33203125" customWidth="1"/>
    <col min="45" max="45" width="8.53125" customWidth="1"/>
    <col min="46" max="46" width="9.33203125" customWidth="1"/>
    <col min="47" max="47" width="10.1328125" customWidth="1"/>
    <col min="48" max="50" width="9.33203125" customWidth="1"/>
    <col min="51" max="51" width="10.1328125" customWidth="1"/>
    <col min="52" max="52" width="9.33203125" customWidth="1"/>
    <col min="53" max="55" width="10.1328125" customWidth="1"/>
    <col min="56" max="56" width="9.33203125" customWidth="1"/>
    <col min="57" max="59" width="10.1328125" customWidth="1"/>
    <col min="60" max="60" width="9.33203125" customWidth="1"/>
    <col min="61" max="61" width="8.53125" customWidth="1"/>
    <col min="62" max="62" width="9.33203125" customWidth="1"/>
    <col min="63" max="63" width="10.1328125" customWidth="1"/>
    <col min="64" max="66" width="9.33203125" customWidth="1"/>
    <col min="67" max="67" width="10.1328125" customWidth="1"/>
    <col min="68" max="68" width="10.33203125" customWidth="1"/>
    <col min="69" max="71" width="10.1328125" customWidth="1"/>
    <col min="72" max="74" width="9.33203125" customWidth="1"/>
    <col min="75" max="75" width="10.1328125" customWidth="1"/>
    <col min="76" max="76" width="10.33203125" customWidth="1"/>
    <col min="77" max="79" width="10.1328125" customWidth="1"/>
    <col min="80" max="80" width="9.33203125" customWidth="1"/>
    <col min="81" max="81" width="10.1328125" customWidth="1"/>
    <col min="82" max="82" width="8.53125" customWidth="1"/>
    <col min="83" max="83" width="10.1328125" customWidth="1"/>
    <col min="84" max="84" width="9.33203125" customWidth="1"/>
    <col min="85" max="87" width="10.1328125" customWidth="1"/>
    <col min="88" max="88" width="9.33203125" customWidth="1"/>
    <col min="89" max="89" width="10.1328125" customWidth="1"/>
    <col min="90" max="90" width="8.53125" customWidth="1"/>
    <col min="91" max="91" width="10.1328125" customWidth="1"/>
    <col min="92" max="92" width="9.33203125" customWidth="1"/>
    <col min="93" max="93" width="10.1328125" customWidth="1"/>
    <col min="94" max="94" width="8.53125" customWidth="1"/>
    <col min="95" max="95" width="10.1328125" customWidth="1"/>
    <col min="96" max="98" width="9.33203125" customWidth="1"/>
    <col min="99" max="99" width="10.1328125" customWidth="1"/>
    <col min="100" max="100" width="9.33203125" customWidth="1"/>
    <col min="101" max="103" width="10.1328125" customWidth="1"/>
    <col min="104" max="106" width="9.33203125" customWidth="1"/>
    <col min="107" max="107" width="8.53125" customWidth="1"/>
    <col min="108" max="108" width="10.33203125" customWidth="1"/>
    <col min="109" max="109" width="10.1328125" customWidth="1"/>
    <col min="110" max="110" width="8.53125" customWidth="1"/>
    <col min="111" max="111" width="10.1328125" customWidth="1"/>
    <col min="112" max="112" width="9.33203125" customWidth="1"/>
    <col min="113" max="113" width="10.1328125" customWidth="1"/>
    <col min="114" max="114" width="8.53125" customWidth="1"/>
    <col min="115" max="115" width="10.1328125" customWidth="1"/>
    <col min="116" max="116" width="9.33203125" customWidth="1"/>
    <col min="117" max="117" width="10.1328125" customWidth="1"/>
    <col min="118" max="118" width="8.53125" customWidth="1"/>
    <col min="119" max="119" width="10.1328125" customWidth="1"/>
    <col min="120" max="120" width="9.33203125" customWidth="1"/>
    <col min="121" max="121" width="8.53125" customWidth="1"/>
    <col min="122" max="122" width="9.33203125" customWidth="1"/>
    <col min="123" max="123" width="10.1328125" customWidth="1"/>
    <col min="124" max="124" width="9.33203125" customWidth="1"/>
    <col min="125" max="127" width="10.1328125" customWidth="1"/>
    <col min="128" max="130" width="9.33203125" customWidth="1"/>
    <col min="131" max="131" width="10.1328125" customWidth="1"/>
    <col min="132" max="132" width="9.33203125" customWidth="1"/>
    <col min="133" max="133" width="10.1328125" customWidth="1"/>
    <col min="134" max="134" width="8.53125" customWidth="1"/>
    <col min="135" max="135" width="10.1328125" customWidth="1"/>
    <col min="136" max="136" width="9.33203125" customWidth="1"/>
    <col min="137" max="139" width="10.1328125" customWidth="1"/>
    <col min="140" max="140" width="9.33203125" customWidth="1"/>
    <col min="141" max="141" width="8.53125" customWidth="1"/>
    <col min="142" max="142" width="9.33203125" customWidth="1"/>
    <col min="143" max="143" width="10.1328125" customWidth="1"/>
    <col min="144" max="145" width="8.53125" customWidth="1"/>
    <col min="146" max="146" width="9.33203125" customWidth="1"/>
    <col min="147" max="147" width="10.1328125" customWidth="1"/>
    <col min="148" max="148" width="9.33203125" customWidth="1"/>
    <col min="149" max="151" width="10.1328125" customWidth="1"/>
    <col min="152" max="152" width="9.33203125" customWidth="1"/>
    <col min="153" max="155" width="10.1328125" customWidth="1"/>
    <col min="156" max="156" width="9.33203125" customWidth="1"/>
    <col min="157" max="157" width="8.53125" customWidth="1"/>
    <col min="158" max="158" width="9.33203125" customWidth="1"/>
    <col min="159" max="159" width="10.1328125" customWidth="1"/>
    <col min="160" max="162" width="9.33203125" customWidth="1"/>
    <col min="163" max="163" width="10.1328125" customWidth="1"/>
    <col min="164" max="164" width="9.33203125" customWidth="1"/>
    <col min="165" max="167" width="10.1328125" customWidth="1"/>
    <col min="168" max="170" width="9.33203125" customWidth="1"/>
    <col min="171" max="171" width="10.1328125" customWidth="1"/>
    <col min="172" max="172" width="9.33203125" customWidth="1"/>
    <col min="173" max="175" width="10.1328125" customWidth="1"/>
    <col min="176" max="176" width="10.33203125" customWidth="1"/>
    <col min="177" max="177" width="8.53125" customWidth="1"/>
    <col min="178" max="178" width="9.33203125" customWidth="1"/>
    <col min="179" max="179" width="10.1328125" customWidth="1"/>
    <col min="180" max="180" width="9.33203125" customWidth="1"/>
    <col min="181" max="183" width="10.1328125" customWidth="1"/>
    <col min="184" max="185" width="8.53125" customWidth="1"/>
    <col min="186" max="186" width="9.33203125" customWidth="1"/>
    <col min="187" max="187" width="10.1328125" customWidth="1"/>
    <col min="188" max="188" width="10.33203125" customWidth="1"/>
    <col min="189" max="191" width="10.1328125" customWidth="1"/>
    <col min="192" max="192" width="9.33203125" customWidth="1"/>
    <col min="193" max="193" width="10.1328125" customWidth="1"/>
    <col min="194" max="194" width="8.53125" customWidth="1"/>
    <col min="195" max="195" width="10.1328125" customWidth="1"/>
    <col min="196" max="196" width="9.33203125" customWidth="1"/>
    <col min="197" max="197" width="10.1328125" customWidth="1"/>
    <col min="198" max="198" width="8.53125" customWidth="1"/>
    <col min="199" max="199" width="10.1328125" customWidth="1"/>
    <col min="200" max="200" width="9.33203125" customWidth="1"/>
    <col min="201" max="201" width="10.1328125" customWidth="1"/>
    <col min="202" max="202" width="8.53125" customWidth="1"/>
    <col min="203" max="203" width="10.1328125" customWidth="1"/>
    <col min="204" max="204" width="9.33203125" customWidth="1"/>
    <col min="205" max="205" width="10.1328125" customWidth="1"/>
    <col min="206" max="206" width="8.53125" customWidth="1"/>
    <col min="207" max="207" width="10.1328125" customWidth="1"/>
    <col min="208" max="210" width="9.33203125" customWidth="1"/>
    <col min="211" max="211" width="10.1328125" customWidth="1"/>
    <col min="212" max="212" width="9.33203125" customWidth="1"/>
    <col min="213" max="215" width="10.1328125" customWidth="1"/>
    <col min="216" max="218" width="9.33203125" customWidth="1"/>
    <col min="219" max="219" width="10.1328125" customWidth="1"/>
    <col min="220" max="220" width="9.33203125" customWidth="1"/>
    <col min="221" max="223" width="10.1328125" customWidth="1"/>
    <col min="224" max="224" width="9.33203125" customWidth="1"/>
    <col min="225" max="226" width="8.53125" customWidth="1"/>
    <col min="227" max="227" width="10.1328125" customWidth="1"/>
    <col min="228" max="228" width="9.33203125" customWidth="1"/>
    <col min="229" max="231" width="10.1328125" customWidth="1"/>
    <col min="232" max="232" width="9.33203125" customWidth="1"/>
    <col min="233" max="235" width="10.1328125" customWidth="1"/>
    <col min="236" max="236" width="9.33203125" customWidth="1"/>
    <col min="237" max="237" width="8.53125" customWidth="1"/>
    <col min="238" max="238" width="9.33203125" customWidth="1"/>
    <col min="239" max="239" width="10.1328125" customWidth="1"/>
    <col min="240" max="242" width="9.33203125" customWidth="1"/>
    <col min="243" max="243" width="10.1328125" customWidth="1"/>
    <col min="244" max="244" width="10.33203125" customWidth="1"/>
    <col min="245" max="247" width="10.1328125" customWidth="1"/>
    <col min="248" max="248" width="9.33203125" customWidth="1"/>
    <col min="249" max="249" width="10.1328125" customWidth="1"/>
    <col min="250" max="250" width="8.53125" customWidth="1"/>
    <col min="251" max="251" width="10.1328125" customWidth="1"/>
    <col min="252" max="252" width="9.33203125" customWidth="1"/>
    <col min="253" max="253" width="10.1328125" customWidth="1"/>
    <col min="254" max="254" width="8.53125" customWidth="1"/>
    <col min="255" max="255" width="10.1328125" customWidth="1"/>
    <col min="256" max="258" width="9.33203125" customWidth="1"/>
    <col min="259" max="259" width="10.1328125" customWidth="1"/>
    <col min="260" max="260" width="9.33203125" customWidth="1"/>
    <col min="261" max="263" width="10.1328125" customWidth="1"/>
    <col min="264" max="265" width="8.53125" customWidth="1"/>
    <col min="266" max="266" width="9.33203125" customWidth="1"/>
    <col min="267" max="267" width="10.1328125" customWidth="1"/>
    <col min="268" max="268" width="10.33203125" customWidth="1"/>
    <col min="269" max="271" width="10.1328125" customWidth="1"/>
    <col min="272" max="272" width="9.33203125" customWidth="1"/>
    <col min="273" max="273" width="10.1328125" customWidth="1"/>
    <col min="274" max="274" width="8.53125" customWidth="1"/>
    <col min="275" max="275" width="10.1328125" customWidth="1"/>
    <col min="276" max="276" width="9.33203125" customWidth="1"/>
    <col min="277" max="277" width="8.53125" customWidth="1"/>
    <col min="278" max="278" width="9.33203125" customWidth="1"/>
    <col min="279" max="279" width="2.86328125" customWidth="1"/>
    <col min="280" max="281" width="10.86328125" customWidth="1"/>
    <col min="282" max="282" width="2.53125" customWidth="1"/>
    <col min="283" max="284" width="8" customWidth="1"/>
    <col min="285" max="286" width="8.53125" customWidth="1"/>
    <col min="287" max="288" width="8" customWidth="1"/>
    <col min="289" max="290" width="8.53125" customWidth="1"/>
    <col min="291" max="292" width="8" customWidth="1"/>
    <col min="293" max="293" width="8.53125" customWidth="1"/>
    <col min="294" max="294" width="2.86328125" customWidth="1"/>
    <col min="295" max="295" width="2.53125" customWidth="1"/>
  </cols>
  <sheetData>
    <row r="1" spans="2:7" ht="15" customHeight="1" x14ac:dyDescent="0.45"/>
    <row r="2" spans="2:7" ht="15" customHeight="1" x14ac:dyDescent="0.45"/>
    <row r="3" spans="2:7" ht="15" customHeight="1" x14ac:dyDescent="0.45"/>
    <row r="4" spans="2:7" ht="15" customHeight="1" x14ac:dyDescent="0.45">
      <c r="F4" s="72"/>
      <c r="G4" s="72"/>
    </row>
    <row r="5" spans="2:7" ht="15" customHeight="1" x14ac:dyDescent="0.45"/>
    <row r="6" spans="2:7" ht="15" customHeight="1" x14ac:dyDescent="0.45"/>
    <row r="7" spans="2:7" ht="15" customHeight="1" x14ac:dyDescent="0.45">
      <c r="B7" s="168" t="s">
        <v>354</v>
      </c>
      <c r="C7" s="168"/>
      <c r="D7" s="168"/>
      <c r="E7" s="126"/>
      <c r="F7" s="61" t="s">
        <v>4</v>
      </c>
      <c r="G7" s="84" t="s">
        <v>983</v>
      </c>
    </row>
    <row r="8" spans="2:7" ht="15" customHeight="1" x14ac:dyDescent="0.45">
      <c r="B8" s="168"/>
      <c r="C8" s="168"/>
      <c r="D8" s="168"/>
      <c r="E8" s="126"/>
    </row>
    <row r="9" spans="2:7" ht="15" customHeight="1" x14ac:dyDescent="0.45"/>
    <row r="10" spans="2:7" ht="15" customHeight="1" x14ac:dyDescent="0.45"/>
    <row r="11" spans="2:7" ht="15" customHeight="1" x14ac:dyDescent="0.45"/>
    <row r="12" spans="2:7" ht="15" customHeight="1" x14ac:dyDescent="0.45"/>
    <row r="13" spans="2:7" ht="15" customHeight="1" x14ac:dyDescent="0.45"/>
    <row r="14" spans="2:7" ht="15" customHeight="1" x14ac:dyDescent="0.45"/>
    <row r="15" spans="2:7" ht="15" customHeight="1" x14ac:dyDescent="0.45"/>
    <row r="16" spans="2:7" ht="15" customHeight="1" x14ac:dyDescent="0.45"/>
    <row r="17" ht="15" customHeight="1" x14ac:dyDescent="0.45"/>
    <row r="18" ht="15" customHeight="1" x14ac:dyDescent="0.45"/>
    <row r="19" ht="15" customHeight="1" x14ac:dyDescent="0.45"/>
    <row r="20" ht="15" customHeight="1" x14ac:dyDescent="0.45"/>
    <row r="21" ht="15" customHeight="1" x14ac:dyDescent="0.45"/>
    <row r="22" ht="15" customHeight="1" x14ac:dyDescent="0.45"/>
    <row r="23" ht="15" customHeight="1" x14ac:dyDescent="0.45"/>
    <row r="24" ht="15" customHeight="1" x14ac:dyDescent="0.45"/>
    <row r="25" ht="15" customHeight="1" x14ac:dyDescent="0.45"/>
    <row r="26" ht="15" customHeight="1" x14ac:dyDescent="0.45"/>
    <row r="27" ht="15" customHeight="1" x14ac:dyDescent="0.45"/>
    <row r="28" ht="15" customHeight="1" x14ac:dyDescent="0.45"/>
    <row r="29" ht="15" customHeight="1" x14ac:dyDescent="0.45"/>
    <row r="30" ht="15" customHeight="1" x14ac:dyDescent="0.45"/>
    <row r="31" ht="15" customHeight="1" x14ac:dyDescent="0.45"/>
    <row r="32" ht="15" customHeight="1" x14ac:dyDescent="0.45"/>
    <row r="33" ht="15" customHeight="1" x14ac:dyDescent="0.45"/>
    <row r="34" ht="15" customHeight="1" x14ac:dyDescent="0.45"/>
    <row r="35" ht="15" customHeight="1" x14ac:dyDescent="0.45"/>
    <row r="36" ht="15" customHeight="1" x14ac:dyDescent="0.45"/>
    <row r="37" ht="15" customHeight="1" x14ac:dyDescent="0.45"/>
    <row r="38" ht="15" customHeight="1" x14ac:dyDescent="0.45"/>
    <row r="39" ht="15" customHeight="1" x14ac:dyDescent="0.45"/>
    <row r="40" ht="15" customHeight="1" x14ac:dyDescent="0.45"/>
    <row r="41" ht="15" customHeight="1" x14ac:dyDescent="0.45"/>
    <row r="42" ht="15" customHeight="1" x14ac:dyDescent="0.45"/>
    <row r="43" ht="15" customHeight="1" x14ac:dyDescent="0.45"/>
    <row r="44" ht="15" customHeight="1" x14ac:dyDescent="0.45"/>
    <row r="45" ht="15" customHeight="1" x14ac:dyDescent="0.45"/>
    <row r="46" ht="15" customHeight="1" x14ac:dyDescent="0.45"/>
    <row r="47" ht="15" customHeight="1" x14ac:dyDescent="0.45"/>
    <row r="48" ht="15" customHeight="1" x14ac:dyDescent="0.45"/>
    <row r="49" ht="15" customHeight="1" x14ac:dyDescent="0.45"/>
    <row r="50" ht="15" customHeight="1" x14ac:dyDescent="0.45"/>
    <row r="51" ht="15" customHeight="1" x14ac:dyDescent="0.45"/>
    <row r="52" ht="15" customHeight="1" x14ac:dyDescent="0.45"/>
    <row r="53" ht="15" customHeight="1" x14ac:dyDescent="0.45"/>
    <row r="54" ht="15" customHeight="1" x14ac:dyDescent="0.45"/>
    <row r="55" ht="15" customHeight="1" x14ac:dyDescent="0.45"/>
    <row r="56" ht="15" customHeight="1" x14ac:dyDescent="0.45"/>
    <row r="57" ht="15" customHeight="1" x14ac:dyDescent="0.45"/>
    <row r="58" ht="15" customHeight="1" x14ac:dyDescent="0.45"/>
    <row r="59" ht="15" customHeight="1" x14ac:dyDescent="0.45"/>
    <row r="60" ht="15" customHeight="1" x14ac:dyDescent="0.45"/>
    <row r="61" ht="15" customHeight="1" x14ac:dyDescent="0.45"/>
    <row r="62" ht="15" customHeight="1" x14ac:dyDescent="0.45"/>
    <row r="63" ht="15" customHeight="1" x14ac:dyDescent="0.45"/>
    <row r="64" ht="15" customHeight="1" x14ac:dyDescent="0.45"/>
    <row r="65" ht="15" customHeight="1" x14ac:dyDescent="0.45"/>
    <row r="66" ht="15" customHeight="1" x14ac:dyDescent="0.45"/>
    <row r="67" ht="15" customHeight="1" x14ac:dyDescent="0.45"/>
    <row r="68" ht="15" customHeight="1" x14ac:dyDescent="0.45"/>
    <row r="69" ht="15" customHeight="1" x14ac:dyDescent="0.45"/>
    <row r="70" ht="15" customHeight="1" x14ac:dyDescent="0.45"/>
    <row r="71" ht="15" customHeight="1" x14ac:dyDescent="0.45"/>
    <row r="72" ht="15" customHeight="1" x14ac:dyDescent="0.45"/>
    <row r="73" ht="15" customHeight="1" x14ac:dyDescent="0.45"/>
    <row r="74" ht="15" customHeight="1" x14ac:dyDescent="0.45"/>
    <row r="75" ht="15" customHeight="1" x14ac:dyDescent="0.45"/>
    <row r="76" ht="15" customHeight="1" x14ac:dyDescent="0.45"/>
    <row r="77" ht="15" customHeight="1" x14ac:dyDescent="0.45"/>
    <row r="78" ht="15" customHeight="1" x14ac:dyDescent="0.45"/>
    <row r="79" ht="15" customHeight="1" x14ac:dyDescent="0.45"/>
    <row r="80" ht="15" customHeight="1" x14ac:dyDescent="0.45"/>
    <row r="81" ht="15" customHeight="1" x14ac:dyDescent="0.45"/>
    <row r="82" ht="15" customHeight="1" x14ac:dyDescent="0.45"/>
    <row r="83" ht="15" customHeight="1" x14ac:dyDescent="0.45"/>
    <row r="84" ht="15" customHeight="1" x14ac:dyDescent="0.45"/>
    <row r="85" ht="15" customHeight="1" x14ac:dyDescent="0.45"/>
    <row r="86" ht="15" customHeight="1" x14ac:dyDescent="0.45"/>
    <row r="87" ht="15" customHeight="1" x14ac:dyDescent="0.45"/>
    <row r="88" ht="15" customHeight="1" x14ac:dyDescent="0.45"/>
    <row r="89" ht="15" customHeight="1" x14ac:dyDescent="0.45"/>
    <row r="90" ht="15" customHeight="1" x14ac:dyDescent="0.45"/>
    <row r="91" ht="15" customHeight="1" x14ac:dyDescent="0.45"/>
    <row r="92" ht="15" customHeight="1" x14ac:dyDescent="0.45"/>
    <row r="93" ht="15" customHeight="1" x14ac:dyDescent="0.45"/>
    <row r="94" ht="15" customHeight="1" x14ac:dyDescent="0.45"/>
    <row r="95" ht="15" customHeight="1" x14ac:dyDescent="0.45"/>
    <row r="96" ht="15" customHeight="1" x14ac:dyDescent="0.45"/>
    <row r="97" ht="15" customHeight="1" x14ac:dyDescent="0.45"/>
    <row r="98" ht="15" customHeight="1" x14ac:dyDescent="0.45"/>
    <row r="99" ht="15" customHeight="1" x14ac:dyDescent="0.45"/>
    <row r="100" ht="15" customHeight="1" x14ac:dyDescent="0.45"/>
    <row r="101" ht="15" customHeight="1" x14ac:dyDescent="0.45"/>
    <row r="102" ht="15" customHeight="1" x14ac:dyDescent="0.45"/>
    <row r="103" ht="15" customHeight="1" x14ac:dyDescent="0.45"/>
    <row r="104" ht="15" customHeight="1" x14ac:dyDescent="0.45"/>
    <row r="105" ht="15" customHeight="1" x14ac:dyDescent="0.45"/>
    <row r="106" ht="15" customHeight="1" x14ac:dyDescent="0.45"/>
    <row r="107" ht="15" customHeight="1" x14ac:dyDescent="0.45"/>
    <row r="108" ht="15" customHeight="1" x14ac:dyDescent="0.45"/>
    <row r="109" ht="15" customHeight="1" x14ac:dyDescent="0.45"/>
    <row r="110" ht="15" customHeight="1" x14ac:dyDescent="0.45"/>
    <row r="111" ht="15" customHeight="1" x14ac:dyDescent="0.45"/>
    <row r="112" ht="15" customHeight="1" x14ac:dyDescent="0.45"/>
    <row r="113" ht="15" customHeight="1" x14ac:dyDescent="0.45"/>
    <row r="114" ht="15" customHeight="1" x14ac:dyDescent="0.45"/>
    <row r="115" ht="15" customHeight="1" x14ac:dyDescent="0.45"/>
    <row r="116" ht="15" customHeight="1" x14ac:dyDescent="0.45"/>
    <row r="117" ht="15" customHeight="1" x14ac:dyDescent="0.45"/>
    <row r="118" ht="15" customHeight="1" x14ac:dyDescent="0.45"/>
    <row r="119" ht="15" customHeight="1" x14ac:dyDescent="0.45"/>
    <row r="120" ht="15" customHeight="1" x14ac:dyDescent="0.45"/>
    <row r="121" ht="15" customHeight="1" x14ac:dyDescent="0.45"/>
    <row r="122" ht="15" customHeight="1" x14ac:dyDescent="0.45"/>
    <row r="123" ht="15" customHeight="1" x14ac:dyDescent="0.45"/>
    <row r="124" ht="15" customHeight="1" x14ac:dyDescent="0.45"/>
    <row r="125" ht="15" customHeight="1" x14ac:dyDescent="0.45"/>
    <row r="126" ht="15" customHeight="1" x14ac:dyDescent="0.45"/>
    <row r="127" ht="15" customHeight="1" x14ac:dyDescent="0.45"/>
    <row r="128" ht="15" customHeight="1" x14ac:dyDescent="0.45"/>
    <row r="129" ht="15" customHeight="1" x14ac:dyDescent="0.45"/>
    <row r="130" ht="15" customHeight="1" x14ac:dyDescent="0.45"/>
    <row r="131" ht="15" customHeight="1" x14ac:dyDescent="0.45"/>
    <row r="132" ht="15" customHeight="1" x14ac:dyDescent="0.45"/>
    <row r="133" ht="15" customHeight="1" x14ac:dyDescent="0.45"/>
    <row r="134" ht="15" customHeight="1" x14ac:dyDescent="0.45"/>
    <row r="135" ht="15" customHeight="1" x14ac:dyDescent="0.45"/>
    <row r="136" ht="15" customHeight="1" x14ac:dyDescent="0.45"/>
    <row r="137" ht="15" customHeight="1" x14ac:dyDescent="0.45"/>
    <row r="138" ht="15" customHeight="1" x14ac:dyDescent="0.45"/>
    <row r="139" ht="15" customHeight="1" x14ac:dyDescent="0.45"/>
    <row r="140" ht="15" customHeight="1" x14ac:dyDescent="0.45"/>
    <row r="141" ht="15" customHeight="1" x14ac:dyDescent="0.45"/>
    <row r="142" ht="15" customHeight="1" x14ac:dyDescent="0.45"/>
    <row r="143" ht="15" customHeight="1" x14ac:dyDescent="0.45"/>
    <row r="144" ht="15" customHeight="1" x14ac:dyDescent="0.45"/>
    <row r="145" ht="15" customHeight="1" x14ac:dyDescent="0.45"/>
    <row r="146" ht="15" customHeight="1" x14ac:dyDescent="0.45"/>
    <row r="147" ht="15" customHeight="1" x14ac:dyDescent="0.45"/>
    <row r="148" ht="15" customHeight="1" x14ac:dyDescent="0.45"/>
    <row r="149" ht="15" customHeight="1" x14ac:dyDescent="0.45"/>
    <row r="150" ht="15" customHeight="1" x14ac:dyDescent="0.45"/>
    <row r="151" ht="15" customHeight="1" x14ac:dyDescent="0.45"/>
    <row r="152" ht="15" customHeight="1" x14ac:dyDescent="0.45"/>
    <row r="153" ht="15" customHeight="1" x14ac:dyDescent="0.45"/>
    <row r="154" ht="15" customHeight="1" x14ac:dyDescent="0.45"/>
    <row r="155" ht="15" customHeight="1" x14ac:dyDescent="0.45"/>
    <row r="156" ht="15" customHeight="1" x14ac:dyDescent="0.45"/>
    <row r="157" ht="15" customHeight="1" x14ac:dyDescent="0.45"/>
    <row r="158" ht="15" customHeight="1" x14ac:dyDescent="0.45"/>
    <row r="159" ht="15" customHeight="1" x14ac:dyDescent="0.45"/>
    <row r="160" ht="15" customHeight="1" x14ac:dyDescent="0.45"/>
    <row r="161" ht="15" customHeight="1" x14ac:dyDescent="0.45"/>
    <row r="162" ht="15" customHeight="1" x14ac:dyDescent="0.45"/>
    <row r="163" ht="15" customHeight="1" x14ac:dyDescent="0.45"/>
    <row r="164" ht="15" customHeight="1" x14ac:dyDescent="0.45"/>
    <row r="165" ht="15" customHeight="1" x14ac:dyDescent="0.45"/>
    <row r="166" ht="15" customHeight="1" x14ac:dyDescent="0.45"/>
    <row r="167" ht="15" customHeight="1" x14ac:dyDescent="0.45"/>
    <row r="168" ht="15" customHeight="1" x14ac:dyDescent="0.45"/>
    <row r="169" ht="15" customHeight="1" x14ac:dyDescent="0.45"/>
    <row r="170" ht="15" customHeight="1" x14ac:dyDescent="0.45"/>
    <row r="171" ht="15" customHeight="1" x14ac:dyDescent="0.45"/>
    <row r="172" ht="15" customHeight="1" x14ac:dyDescent="0.45"/>
    <row r="173" ht="15" customHeight="1" x14ac:dyDescent="0.45"/>
    <row r="174" ht="15" customHeight="1" x14ac:dyDescent="0.45"/>
    <row r="175" ht="15" customHeight="1" x14ac:dyDescent="0.45"/>
    <row r="176" ht="15" customHeight="1" x14ac:dyDescent="0.45"/>
    <row r="177" ht="15" customHeight="1" x14ac:dyDescent="0.45"/>
    <row r="178" ht="15" customHeight="1" x14ac:dyDescent="0.45"/>
    <row r="179" ht="15" customHeight="1" x14ac:dyDescent="0.45"/>
    <row r="180" ht="15" customHeight="1" x14ac:dyDescent="0.45"/>
    <row r="181" ht="15" customHeight="1" x14ac:dyDescent="0.45"/>
    <row r="182" ht="15" customHeight="1" x14ac:dyDescent="0.45"/>
    <row r="183" ht="15" customHeight="1" x14ac:dyDescent="0.45"/>
    <row r="184" ht="15" customHeight="1" x14ac:dyDescent="0.45"/>
    <row r="185" ht="15" customHeight="1" x14ac:dyDescent="0.45"/>
    <row r="186" ht="15" customHeight="1" x14ac:dyDescent="0.45"/>
    <row r="187" ht="15" customHeight="1" x14ac:dyDescent="0.45"/>
    <row r="188" ht="15" customHeight="1" x14ac:dyDescent="0.45"/>
    <row r="189" ht="15" customHeight="1" x14ac:dyDescent="0.45"/>
    <row r="190" ht="15" customHeight="1" x14ac:dyDescent="0.45"/>
    <row r="191" ht="15" customHeight="1" x14ac:dyDescent="0.45"/>
    <row r="192" ht="15" customHeight="1" x14ac:dyDescent="0.45"/>
    <row r="193" ht="15" customHeight="1" x14ac:dyDescent="0.45"/>
    <row r="194" ht="15" customHeight="1" x14ac:dyDescent="0.45"/>
    <row r="195" ht="15" customHeight="1" x14ac:dyDescent="0.45"/>
    <row r="196" ht="15" customHeight="1" x14ac:dyDescent="0.45"/>
    <row r="197" ht="15" customHeight="1" x14ac:dyDescent="0.45"/>
    <row r="198" ht="15" customHeight="1" x14ac:dyDescent="0.45"/>
    <row r="199" ht="15" customHeight="1" x14ac:dyDescent="0.45"/>
    <row r="200" ht="15" customHeight="1" x14ac:dyDescent="0.45"/>
    <row r="201" ht="15" customHeight="1" x14ac:dyDescent="0.45"/>
    <row r="202" ht="15" customHeight="1" x14ac:dyDescent="0.45"/>
    <row r="203" ht="15" customHeight="1" x14ac:dyDescent="0.45"/>
    <row r="204" ht="15" customHeight="1" x14ac:dyDescent="0.45"/>
    <row r="205" ht="15" customHeight="1" x14ac:dyDescent="0.45"/>
    <row r="206" ht="15" customHeight="1" x14ac:dyDescent="0.45"/>
    <row r="207" ht="15" customHeight="1" x14ac:dyDescent="0.45"/>
    <row r="208" ht="15" customHeight="1" x14ac:dyDescent="0.45"/>
    <row r="209" ht="15" customHeight="1" x14ac:dyDescent="0.45"/>
    <row r="210" ht="15" customHeight="1" x14ac:dyDescent="0.45"/>
    <row r="211" ht="15" customHeight="1" x14ac:dyDescent="0.45"/>
    <row r="212" ht="15" customHeight="1" x14ac:dyDescent="0.45"/>
    <row r="213" ht="15" customHeight="1" x14ac:dyDescent="0.45"/>
    <row r="214" ht="15" customHeight="1" x14ac:dyDescent="0.45"/>
    <row r="215" ht="15" customHeight="1" x14ac:dyDescent="0.45"/>
    <row r="216" ht="15" customHeight="1" x14ac:dyDescent="0.45"/>
    <row r="217" ht="15" customHeight="1" x14ac:dyDescent="0.45"/>
    <row r="218" ht="15" customHeight="1" x14ac:dyDescent="0.45"/>
    <row r="219" ht="15" customHeight="1" x14ac:dyDescent="0.45"/>
    <row r="220" ht="15" customHeight="1" x14ac:dyDescent="0.45"/>
    <row r="221" ht="15" customHeight="1" x14ac:dyDescent="0.45"/>
    <row r="222" ht="15" customHeight="1" x14ac:dyDescent="0.45"/>
    <row r="223" ht="15" customHeight="1" x14ac:dyDescent="0.45"/>
    <row r="224" ht="15" customHeight="1" x14ac:dyDescent="0.45"/>
    <row r="225" ht="15" customHeight="1" x14ac:dyDescent="0.45"/>
    <row r="226" ht="15" customHeight="1" x14ac:dyDescent="0.45"/>
    <row r="227" ht="15" customHeight="1" x14ac:dyDescent="0.45"/>
    <row r="228" ht="15" customHeight="1" x14ac:dyDescent="0.45"/>
    <row r="229" ht="15" customHeight="1" x14ac:dyDescent="0.45"/>
    <row r="230" ht="15" customHeight="1" x14ac:dyDescent="0.45"/>
    <row r="231" ht="15" customHeight="1" x14ac:dyDescent="0.45"/>
    <row r="232" ht="15" customHeight="1" x14ac:dyDescent="0.45"/>
    <row r="233" ht="15" customHeight="1" x14ac:dyDescent="0.45"/>
    <row r="234" ht="15" customHeight="1" x14ac:dyDescent="0.45"/>
    <row r="235" ht="15" customHeight="1" x14ac:dyDescent="0.45"/>
    <row r="236" ht="15" customHeight="1" x14ac:dyDescent="0.45"/>
    <row r="237" ht="15" customHeight="1" x14ac:dyDescent="0.45"/>
    <row r="238" ht="15" customHeight="1" x14ac:dyDescent="0.45"/>
    <row r="239" ht="15" customHeight="1" x14ac:dyDescent="0.45"/>
    <row r="240" ht="15" customHeight="1" x14ac:dyDescent="0.45"/>
    <row r="241" ht="15" customHeight="1" x14ac:dyDescent="0.45"/>
    <row r="242" ht="15" customHeight="1" x14ac:dyDescent="0.45"/>
    <row r="243" ht="15" customHeight="1" x14ac:dyDescent="0.45"/>
    <row r="244" ht="15" customHeight="1" x14ac:dyDescent="0.45"/>
    <row r="245" ht="15" customHeight="1" x14ac:dyDescent="0.45"/>
    <row r="246" ht="15" customHeight="1" x14ac:dyDescent="0.45"/>
    <row r="247" ht="15" customHeight="1" x14ac:dyDescent="0.45"/>
    <row r="248" ht="15" customHeight="1" x14ac:dyDescent="0.45"/>
    <row r="249" ht="15" customHeight="1" x14ac:dyDescent="0.45"/>
    <row r="250" ht="15" customHeight="1" x14ac:dyDescent="0.45"/>
    <row r="251" ht="15" customHeight="1" x14ac:dyDescent="0.45"/>
    <row r="252" ht="15" customHeight="1" x14ac:dyDescent="0.45"/>
    <row r="253" ht="15" customHeight="1" x14ac:dyDescent="0.45"/>
    <row r="254" ht="15" customHeight="1" x14ac:dyDescent="0.45"/>
    <row r="255" ht="15" customHeight="1" x14ac:dyDescent="0.45"/>
    <row r="256" ht="15" customHeight="1" x14ac:dyDescent="0.45"/>
    <row r="257" ht="15" customHeight="1" x14ac:dyDescent="0.45"/>
    <row r="258" ht="15" customHeight="1" x14ac:dyDescent="0.45"/>
    <row r="259" ht="15" customHeight="1" x14ac:dyDescent="0.45"/>
    <row r="260" ht="15" customHeight="1" x14ac:dyDescent="0.45"/>
    <row r="261" ht="15" customHeight="1" x14ac:dyDescent="0.45"/>
    <row r="262" ht="15" customHeight="1" x14ac:dyDescent="0.45"/>
    <row r="263" ht="15" customHeight="1" x14ac:dyDescent="0.45"/>
    <row r="264" ht="15" customHeight="1" x14ac:dyDescent="0.45"/>
    <row r="265" ht="15" customHeight="1" x14ac:dyDescent="0.45"/>
    <row r="266" ht="15" customHeight="1" x14ac:dyDescent="0.45"/>
    <row r="267" ht="15" customHeight="1" x14ac:dyDescent="0.45"/>
    <row r="268" ht="15" customHeight="1" x14ac:dyDescent="0.45"/>
    <row r="269" ht="15" customHeight="1" x14ac:dyDescent="0.45"/>
    <row r="270" ht="15" customHeight="1" x14ac:dyDescent="0.45"/>
    <row r="271" ht="15" customHeight="1" x14ac:dyDescent="0.45"/>
    <row r="272" ht="15" customHeight="1" x14ac:dyDescent="0.45"/>
    <row r="273" ht="15" customHeight="1" x14ac:dyDescent="0.45"/>
    <row r="274" ht="15" customHeight="1" x14ac:dyDescent="0.45"/>
    <row r="275" ht="15" customHeight="1" x14ac:dyDescent="0.45"/>
    <row r="276" ht="15" customHeight="1" x14ac:dyDescent="0.45"/>
    <row r="277" ht="15" customHeight="1" x14ac:dyDescent="0.45"/>
    <row r="278" ht="15" customHeight="1" x14ac:dyDescent="0.45"/>
    <row r="279" ht="15" customHeight="1" x14ac:dyDescent="0.45"/>
    <row r="280" ht="15" customHeight="1" x14ac:dyDescent="0.45"/>
    <row r="281" ht="15" customHeight="1" x14ac:dyDescent="0.45"/>
    <row r="282" ht="15" customHeight="1" x14ac:dyDescent="0.45"/>
    <row r="283" ht="15" customHeight="1" x14ac:dyDescent="0.45"/>
    <row r="284" ht="15" customHeight="1" x14ac:dyDescent="0.45"/>
    <row r="285" ht="15" customHeight="1" x14ac:dyDescent="0.45"/>
    <row r="286" ht="15" customHeight="1" x14ac:dyDescent="0.45"/>
    <row r="287" ht="15" customHeight="1" x14ac:dyDescent="0.45"/>
    <row r="288" ht="15" customHeight="1" x14ac:dyDescent="0.45"/>
    <row r="289" ht="15" customHeight="1" x14ac:dyDescent="0.45"/>
    <row r="290" ht="15" customHeight="1" x14ac:dyDescent="0.45"/>
    <row r="291" ht="15" customHeight="1" x14ac:dyDescent="0.45"/>
    <row r="292" ht="15" customHeight="1" x14ac:dyDescent="0.45"/>
    <row r="293" ht="15" customHeight="1" x14ac:dyDescent="0.45"/>
    <row r="294" ht="15" customHeight="1" x14ac:dyDescent="0.45"/>
    <row r="295" ht="15" customHeight="1" x14ac:dyDescent="0.45"/>
    <row r="296" ht="15" customHeight="1" x14ac:dyDescent="0.45"/>
    <row r="297" ht="15" customHeight="1" x14ac:dyDescent="0.45"/>
    <row r="298" ht="15" customHeight="1" x14ac:dyDescent="0.45"/>
    <row r="299" ht="15" customHeight="1" x14ac:dyDescent="0.45"/>
    <row r="300" ht="15" customHeight="1" x14ac:dyDescent="0.45"/>
    <row r="301" ht="15" customHeight="1" x14ac:dyDescent="0.45"/>
    <row r="302" ht="15" customHeight="1" x14ac:dyDescent="0.45"/>
    <row r="303" ht="15" customHeight="1" x14ac:dyDescent="0.45"/>
    <row r="304" ht="15" customHeight="1" x14ac:dyDescent="0.45"/>
    <row r="305" ht="15" customHeight="1" x14ac:dyDescent="0.45"/>
    <row r="306" ht="15" customHeight="1" x14ac:dyDescent="0.45"/>
    <row r="307" ht="15" customHeight="1" x14ac:dyDescent="0.45"/>
    <row r="308" ht="15" customHeight="1" x14ac:dyDescent="0.45"/>
    <row r="309" ht="15" customHeight="1" x14ac:dyDescent="0.45"/>
    <row r="310" ht="15" customHeight="1" x14ac:dyDescent="0.45"/>
    <row r="311" ht="15" customHeight="1" x14ac:dyDescent="0.45"/>
    <row r="312" ht="15" customHeight="1" x14ac:dyDescent="0.45"/>
    <row r="313" ht="15" customHeight="1" x14ac:dyDescent="0.45"/>
    <row r="314" ht="15" customHeight="1" x14ac:dyDescent="0.45"/>
    <row r="315" ht="15" customHeight="1" x14ac:dyDescent="0.45"/>
    <row r="316" ht="15" customHeight="1" x14ac:dyDescent="0.45"/>
    <row r="317" ht="15" customHeight="1" x14ac:dyDescent="0.45"/>
    <row r="318" ht="15" customHeight="1" x14ac:dyDescent="0.45"/>
    <row r="319" ht="15" customHeight="1" x14ac:dyDescent="0.45"/>
    <row r="320" ht="15" customHeight="1" x14ac:dyDescent="0.45"/>
    <row r="321" ht="15" customHeight="1" x14ac:dyDescent="0.45"/>
    <row r="322" ht="15" customHeight="1" x14ac:dyDescent="0.45"/>
    <row r="323" ht="15" customHeight="1" x14ac:dyDescent="0.45"/>
    <row r="324" ht="15" customHeight="1" x14ac:dyDescent="0.45"/>
    <row r="325" ht="15" customHeight="1" x14ac:dyDescent="0.45"/>
    <row r="326" ht="15" customHeight="1" x14ac:dyDescent="0.45"/>
    <row r="327" ht="15" customHeight="1" x14ac:dyDescent="0.45"/>
    <row r="328" ht="15" customHeight="1" x14ac:dyDescent="0.45"/>
    <row r="329" ht="15" customHeight="1" x14ac:dyDescent="0.45"/>
    <row r="330" ht="15" customHeight="1" x14ac:dyDescent="0.45"/>
    <row r="331" ht="15" customHeight="1" x14ac:dyDescent="0.45"/>
    <row r="332" ht="15" customHeight="1" x14ac:dyDescent="0.45"/>
    <row r="333" ht="15" customHeight="1" x14ac:dyDescent="0.45"/>
    <row r="334" ht="15" customHeight="1" x14ac:dyDescent="0.45"/>
    <row r="335" ht="15" customHeight="1" x14ac:dyDescent="0.45"/>
    <row r="336" ht="15" customHeight="1" x14ac:dyDescent="0.45"/>
    <row r="337" ht="15" customHeight="1" x14ac:dyDescent="0.45"/>
    <row r="338" ht="15" customHeight="1" x14ac:dyDescent="0.45"/>
    <row r="339" ht="15" customHeight="1" x14ac:dyDescent="0.45"/>
    <row r="340" ht="15" customHeight="1" x14ac:dyDescent="0.45"/>
    <row r="341" ht="15" customHeight="1" x14ac:dyDescent="0.45"/>
    <row r="342" ht="15" customHeight="1" x14ac:dyDescent="0.45"/>
    <row r="343" ht="15" customHeight="1" x14ac:dyDescent="0.45"/>
    <row r="344" ht="15" customHeight="1" x14ac:dyDescent="0.45"/>
    <row r="345" ht="15" customHeight="1" x14ac:dyDescent="0.45"/>
    <row r="346" ht="15" customHeight="1" x14ac:dyDescent="0.45"/>
    <row r="347" ht="15" customHeight="1" x14ac:dyDescent="0.45"/>
    <row r="348" ht="15" customHeight="1" x14ac:dyDescent="0.45"/>
    <row r="349" ht="15" customHeight="1" x14ac:dyDescent="0.45"/>
    <row r="350" ht="15" customHeight="1" x14ac:dyDescent="0.45"/>
    <row r="351" ht="15" customHeight="1" x14ac:dyDescent="0.45"/>
    <row r="352" ht="15" customHeight="1" x14ac:dyDescent="0.45"/>
    <row r="353" ht="15" customHeight="1" x14ac:dyDescent="0.45"/>
    <row r="354" ht="15" customHeight="1" x14ac:dyDescent="0.45"/>
    <row r="355" ht="15" customHeight="1" x14ac:dyDescent="0.45"/>
    <row r="356" ht="15" customHeight="1" x14ac:dyDescent="0.45"/>
    <row r="357" ht="15" customHeight="1" x14ac:dyDescent="0.45"/>
    <row r="358" ht="15" customHeight="1" x14ac:dyDescent="0.45"/>
    <row r="359" ht="15" customHeight="1" x14ac:dyDescent="0.45"/>
    <row r="360" ht="15" customHeight="1" x14ac:dyDescent="0.45"/>
    <row r="361" ht="15" customHeight="1" x14ac:dyDescent="0.45"/>
    <row r="362" ht="15" customHeight="1" x14ac:dyDescent="0.45"/>
    <row r="363" ht="15" customHeight="1" x14ac:dyDescent="0.45"/>
    <row r="364" ht="15" customHeight="1" x14ac:dyDescent="0.45"/>
    <row r="365" ht="15" customHeight="1" x14ac:dyDescent="0.45"/>
    <row r="366" ht="15" customHeight="1" x14ac:dyDescent="0.45"/>
    <row r="367" ht="15" customHeight="1" x14ac:dyDescent="0.45"/>
    <row r="368" ht="15" customHeight="1" x14ac:dyDescent="0.45"/>
    <row r="369" ht="15" customHeight="1" x14ac:dyDescent="0.45"/>
    <row r="370" ht="15" customHeight="1" x14ac:dyDescent="0.45"/>
    <row r="371" ht="15" customHeight="1" x14ac:dyDescent="0.45"/>
    <row r="372" ht="15" customHeight="1" x14ac:dyDescent="0.45"/>
    <row r="373" ht="15" customHeight="1" x14ac:dyDescent="0.45"/>
    <row r="374" ht="15" customHeight="1" x14ac:dyDescent="0.45"/>
    <row r="375" ht="15" customHeight="1" x14ac:dyDescent="0.45"/>
    <row r="376" ht="15" customHeight="1" x14ac:dyDescent="0.45"/>
    <row r="377" ht="15" customHeight="1" x14ac:dyDescent="0.45"/>
  </sheetData>
  <sheetProtection sheet="1" objects="1" scenarios="1"/>
  <mergeCells count="1">
    <mergeCell ref="B7:D8"/>
  </mergeCells>
  <dataValidations count="1">
    <dataValidation allowBlank="1" showDropDown="1" showInputMessage="1" showErrorMessage="1" prompt="Double-click me" sqref="G7" xr:uid="{00000000-0002-0000-0500-000000000000}"/>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Config"/>
  <dimension ref="A1:H24"/>
  <sheetViews>
    <sheetView showGridLines="0" showRowColHeaders="0" zoomScaleNormal="100" workbookViewId="0"/>
  </sheetViews>
  <sheetFormatPr defaultColWidth="9.1328125" defaultRowHeight="14.25" x14ac:dyDescent="0.45"/>
  <cols>
    <col min="1" max="3" width="2.53125" style="1" customWidth="1"/>
    <col min="4" max="4" width="32.1328125" style="1" bestFit="1" customWidth="1"/>
    <col min="5" max="5" width="12" style="1" customWidth="1"/>
    <col min="6" max="6" width="119.86328125" style="1" customWidth="1"/>
  </cols>
  <sheetData>
    <row r="1" spans="1:6" ht="28.5" x14ac:dyDescent="0.45">
      <c r="D1" s="53" t="s">
        <v>112</v>
      </c>
    </row>
    <row r="2" spans="1:6" x14ac:dyDescent="0.45">
      <c r="D2" s="128" t="s">
        <v>814</v>
      </c>
    </row>
    <row r="3" spans="1:6" x14ac:dyDescent="0.45">
      <c r="D3" s="82" t="s">
        <v>528</v>
      </c>
      <c r="E3" s="83" t="s">
        <v>290</v>
      </c>
      <c r="F3" s="151" t="s">
        <v>24</v>
      </c>
    </row>
    <row r="4" spans="1:6" x14ac:dyDescent="0.45">
      <c r="D4" s="76" t="s">
        <v>439</v>
      </c>
      <c r="E4" s="152" t="str" cm="1">
        <f t="array" aca="1" ref="E4" ca="1">RangeFromMarketDataBook("Config",D4)</f>
        <v>EUR</v>
      </c>
      <c r="F4" s="150" t="s">
        <v>807</v>
      </c>
    </row>
    <row r="5" spans="1:6" ht="28.5" x14ac:dyDescent="0.45">
      <c r="D5" s="76" t="s">
        <v>584</v>
      </c>
      <c r="E5" s="152" t="str" cm="1">
        <f t="array" aca="1" ref="E5" ca="1">RangeFromMarketDataBook("Config",D5)</f>
        <v>EUR</v>
      </c>
      <c r="F5" s="150" t="s">
        <v>585</v>
      </c>
    </row>
    <row r="6" spans="1:6" x14ac:dyDescent="0.45">
      <c r="D6" s="76" t="s">
        <v>438</v>
      </c>
      <c r="E6" s="153" cm="1">
        <f t="array" aca="1" ref="E6" ca="1">RangeFromMarketDataBook("Config",D6)</f>
        <v>44620</v>
      </c>
      <c r="F6" s="150" t="s">
        <v>440</v>
      </c>
    </row>
    <row r="7" spans="1:6" x14ac:dyDescent="0.45">
      <c r="A7"/>
      <c r="B7"/>
      <c r="C7"/>
      <c r="D7" s="127"/>
      <c r="E7"/>
      <c r="F7"/>
    </row>
    <row r="8" spans="1:6" x14ac:dyDescent="0.45">
      <c r="D8" s="82" t="s">
        <v>528</v>
      </c>
      <c r="E8" s="83" t="s">
        <v>290</v>
      </c>
      <c r="F8" s="151" t="s">
        <v>24</v>
      </c>
    </row>
    <row r="9" spans="1:6" x14ac:dyDescent="0.45">
      <c r="D9" s="154" t="s">
        <v>111</v>
      </c>
      <c r="E9" s="160" t="s">
        <v>1009</v>
      </c>
      <c r="F9" s="69"/>
    </row>
    <row r="10" spans="1:6" x14ac:dyDescent="0.45">
      <c r="D10" s="155" t="s">
        <v>529</v>
      </c>
      <c r="E10" s="157" t="s">
        <v>1010</v>
      </c>
      <c r="F10" s="69"/>
    </row>
    <row r="11" spans="1:6" x14ac:dyDescent="0.45">
      <c r="D11" s="143" t="s">
        <v>162</v>
      </c>
      <c r="E11" s="159" t="s">
        <v>1008</v>
      </c>
      <c r="F11" s="156" t="s">
        <v>816</v>
      </c>
    </row>
    <row r="12" spans="1:6" ht="15.75" x14ac:dyDescent="0.45">
      <c r="A12"/>
      <c r="B12"/>
      <c r="C12"/>
      <c r="D12" s="145" t="s">
        <v>381</v>
      </c>
      <c r="E12" s="94">
        <v>2047</v>
      </c>
      <c r="F12" s="149" t="s">
        <v>938</v>
      </c>
    </row>
    <row r="13" spans="1:6" ht="15.75" x14ac:dyDescent="0.45">
      <c r="A13"/>
      <c r="B13"/>
      <c r="C13"/>
      <c r="D13" s="145" t="s">
        <v>382</v>
      </c>
      <c r="E13" s="94">
        <v>255</v>
      </c>
      <c r="F13" s="149" t="s">
        <v>939</v>
      </c>
    </row>
    <row r="14" spans="1:6" x14ac:dyDescent="0.45">
      <c r="A14"/>
      <c r="B14"/>
      <c r="C14"/>
      <c r="D14" s="76" t="s">
        <v>383</v>
      </c>
      <c r="E14" s="146">
        <v>8.3333333333333301E-2</v>
      </c>
      <c r="F14" s="149" t="s">
        <v>646</v>
      </c>
    </row>
    <row r="15" spans="1:6" x14ac:dyDescent="0.45">
      <c r="A15"/>
      <c r="B15"/>
      <c r="C15"/>
      <c r="D15" s="145" t="s">
        <v>384</v>
      </c>
      <c r="E15" s="147">
        <v>0.95</v>
      </c>
      <c r="F15" s="149" t="s">
        <v>553</v>
      </c>
    </row>
    <row r="16" spans="1:6" ht="57" x14ac:dyDescent="0.45">
      <c r="A16"/>
      <c r="B16"/>
      <c r="C16"/>
      <c r="D16" s="145" t="s">
        <v>748</v>
      </c>
      <c r="E16" s="148" t="s">
        <v>749</v>
      </c>
      <c r="F16" s="149" t="s">
        <v>756</v>
      </c>
    </row>
    <row r="17" spans="1:8" ht="42.75" x14ac:dyDescent="0.45">
      <c r="A17"/>
      <c r="B17"/>
      <c r="C17"/>
      <c r="D17" s="145" t="s">
        <v>708</v>
      </c>
      <c r="E17" s="144" t="b">
        <v>0</v>
      </c>
      <c r="F17" s="149" t="s">
        <v>980</v>
      </c>
    </row>
    <row r="18" spans="1:8" ht="42.75" x14ac:dyDescent="0.45">
      <c r="D18" s="145" t="s">
        <v>728</v>
      </c>
      <c r="E18" s="144" t="b">
        <v>0</v>
      </c>
      <c r="F18" s="149" t="s">
        <v>729</v>
      </c>
    </row>
    <row r="19" spans="1:8" ht="28.5" x14ac:dyDescent="0.45">
      <c r="D19" s="145" t="s">
        <v>690</v>
      </c>
      <c r="E19" s="144" t="b">
        <v>1</v>
      </c>
      <c r="F19" s="149" t="s">
        <v>940</v>
      </c>
    </row>
    <row r="20" spans="1:8" ht="28.5" x14ac:dyDescent="0.45">
      <c r="D20" s="143" t="s">
        <v>808</v>
      </c>
      <c r="E20" s="144" t="b">
        <v>0</v>
      </c>
      <c r="F20" s="149" t="s">
        <v>809</v>
      </c>
    </row>
    <row r="21" spans="1:8" x14ac:dyDescent="0.45">
      <c r="D21" s="143" t="s">
        <v>999</v>
      </c>
      <c r="E21" s="144" t="b">
        <v>0</v>
      </c>
      <c r="F21" s="149" t="s">
        <v>1000</v>
      </c>
    </row>
    <row r="22" spans="1:8" ht="42.75" x14ac:dyDescent="0.45">
      <c r="D22" s="143" t="s">
        <v>947</v>
      </c>
      <c r="E22" s="144" t="b">
        <v>0</v>
      </c>
      <c r="F22" s="149" t="s">
        <v>948</v>
      </c>
    </row>
    <row r="23" spans="1:8" ht="28.5" x14ac:dyDescent="0.45">
      <c r="D23" s="143" t="s">
        <v>962</v>
      </c>
      <c r="E23" s="144" t="b">
        <v>1</v>
      </c>
      <c r="F23" s="149" t="s">
        <v>963</v>
      </c>
      <c r="H23" s="142"/>
    </row>
    <row r="24" spans="1:8" ht="99.75" x14ac:dyDescent="0.45">
      <c r="D24" s="143" t="s">
        <v>842</v>
      </c>
      <c r="E24" s="144" t="b">
        <v>1</v>
      </c>
      <c r="F24" s="149" t="s">
        <v>843</v>
      </c>
    </row>
  </sheetData>
  <sheetProtection sheet="1" objects="1" scenarios="1"/>
  <conditionalFormatting sqref="E15:E16">
    <cfRule type="expression" dxfId="5" priority="24">
      <formula>$E$15&lt;&gt;0.95</formula>
    </cfRule>
  </conditionalFormatting>
  <conditionalFormatting sqref="E23">
    <cfRule type="cellIs" dxfId="4" priority="18" operator="notEqual">
      <formula>TRUE</formula>
    </cfRule>
  </conditionalFormatting>
  <conditionalFormatting sqref="E19">
    <cfRule type="cellIs" dxfId="3" priority="13" operator="notEqual">
      <formula>FALSE</formula>
    </cfRule>
  </conditionalFormatting>
  <conditionalFormatting sqref="E18">
    <cfRule type="cellIs" dxfId="2" priority="14" operator="notEqual">
      <formula>FALSE</formula>
    </cfRule>
  </conditionalFormatting>
  <conditionalFormatting sqref="E24">
    <cfRule type="cellIs" dxfId="1" priority="10" operator="notEqual">
      <formula>TRUE</formula>
    </cfRule>
  </conditionalFormatting>
  <conditionalFormatting sqref="E21">
    <cfRule type="cellIs" dxfId="0" priority="1" operator="notEqual">
      <formula>FALSE</formula>
    </cfRule>
  </conditionalFormatting>
  <dataValidations count="5">
    <dataValidation type="list" allowBlank="1" showInputMessage="1" showErrorMessage="1" sqref="E12:E13" xr:uid="{00000000-0002-0000-0900-000000000000}">
      <formula1>"3,7,15,31,63,127,255,511,1023,2047,4095,8191,16383"</formula1>
    </dataValidation>
    <dataValidation type="list" allowBlank="1" showInputMessage="1" showErrorMessage="1" sqref="E14" xr:uid="{00000000-0002-0000-0900-000001000000}">
      <formula1>"0.0833333333333333,0.25"</formula1>
    </dataValidation>
    <dataValidation type="list" allowBlank="1" showInputMessage="1" showErrorMessage="1" sqref="E16" xr:uid="{307280F7-1C43-4E50-97DF-7B55FED2CDA9}">
      <formula1>"Continue,Stop"</formula1>
    </dataValidation>
    <dataValidation allowBlank="1" showInputMessage="1" showErrorMessage="1" prompt="Double-click to change." sqref="E9:E10" xr:uid="{00000000-0002-0000-0900-000002000000}"/>
    <dataValidation type="list" allowBlank="1" showDropDown="1" showInputMessage="1" showErrorMessage="1" sqref="E17:E23" xr:uid="{CD239F3B-B13C-41AB-9AC3-7B5574CE21C4}">
      <formula1>"TRUE,FALSE"</formula1>
    </dataValidation>
  </dataValidations>
  <pageMargins left="0.7" right="0.7" top="0.75" bottom="0.75" header="0.3" footer="0.3"/>
  <pageSetup paperSize="9" orientation="portrait" horizontalDpi="4294967294" verticalDpi="0" r:id="rId1"/>
  <colBreaks count="1" manualBreakCount="1">
    <brk id="4"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Audit"/>
  <dimension ref="B1:H787"/>
  <sheetViews>
    <sheetView showGridLines="0" showRowColHeaders="0" zoomScaleNormal="100" workbookViewId="0"/>
  </sheetViews>
  <sheetFormatPr defaultRowHeight="14.25" x14ac:dyDescent="0.45"/>
  <cols>
    <col min="1" max="1" width="2.53125" customWidth="1"/>
    <col min="2" max="2" width="7.86328125" customWidth="1"/>
    <col min="3" max="3" width="12" bestFit="1" customWidth="1"/>
    <col min="4" max="4" width="5.53125" customWidth="1"/>
    <col min="5" max="5" width="14.86328125" customWidth="1"/>
    <col min="6" max="6" width="155.53125" bestFit="1" customWidth="1"/>
  </cols>
  <sheetData>
    <row r="1" spans="2:8" ht="28.5" x14ac:dyDescent="0.85">
      <c r="B1" s="33" t="s">
        <v>1016</v>
      </c>
    </row>
    <row r="5" spans="2:8" x14ac:dyDescent="0.45">
      <c r="B5" s="5" t="s">
        <v>25</v>
      </c>
      <c r="C5" s="6" t="s">
        <v>12</v>
      </c>
      <c r="D5" s="170" t="s">
        <v>26</v>
      </c>
      <c r="E5" s="162" t="s">
        <v>27</v>
      </c>
      <c r="F5" s="7" t="s">
        <v>13</v>
      </c>
      <c r="H5" s="2" t="s">
        <v>868</v>
      </c>
    </row>
    <row r="6" spans="2:8" x14ac:dyDescent="0.45">
      <c r="B6" s="169">
        <v>790</v>
      </c>
      <c r="C6" s="38">
        <v>44670</v>
      </c>
      <c r="D6" s="171">
        <v>0.80980324074334931</v>
      </c>
      <c r="E6" s="163" t="s">
        <v>28</v>
      </c>
      <c r="F6" s="39" t="s">
        <v>1019</v>
      </c>
      <c r="H6" t="s">
        <v>918</v>
      </c>
    </row>
    <row r="7" spans="2:8" x14ac:dyDescent="0.45">
      <c r="B7" s="161">
        <v>789</v>
      </c>
      <c r="C7" s="38">
        <v>44644</v>
      </c>
      <c r="D7" s="171">
        <v>0.46236111110920319</v>
      </c>
      <c r="E7" s="163" t="s">
        <v>28</v>
      </c>
      <c r="F7" s="39" t="s">
        <v>1017</v>
      </c>
      <c r="H7" t="s">
        <v>921</v>
      </c>
    </row>
    <row r="8" spans="2:8" x14ac:dyDescent="0.45">
      <c r="B8" s="161">
        <v>788</v>
      </c>
      <c r="C8" s="38">
        <v>44644</v>
      </c>
      <c r="D8" s="171">
        <v>0.45744212962745223</v>
      </c>
      <c r="E8" s="163" t="s">
        <v>28</v>
      </c>
      <c r="F8" s="39" t="s">
        <v>1017</v>
      </c>
      <c r="H8" t="s">
        <v>943</v>
      </c>
    </row>
    <row r="9" spans="2:8" x14ac:dyDescent="0.45">
      <c r="B9" s="161">
        <v>787</v>
      </c>
      <c r="C9" s="38">
        <v>44644</v>
      </c>
      <c r="D9" s="171">
        <v>0.44708333333255723</v>
      </c>
      <c r="E9" s="163" t="s">
        <v>28</v>
      </c>
      <c r="F9" s="39" t="s">
        <v>1017</v>
      </c>
      <c r="H9" s="25" t="s">
        <v>988</v>
      </c>
    </row>
    <row r="10" spans="2:8" x14ac:dyDescent="0.45">
      <c r="B10" s="161">
        <v>786</v>
      </c>
      <c r="C10" s="38">
        <v>44643</v>
      </c>
      <c r="D10" s="171">
        <v>0.74145833333022892</v>
      </c>
      <c r="E10" s="163" t="s">
        <v>28</v>
      </c>
      <c r="F10" s="39" t="s">
        <v>1015</v>
      </c>
      <c r="H10" s="2"/>
    </row>
    <row r="11" spans="2:8" x14ac:dyDescent="0.45">
      <c r="B11" s="161">
        <v>785</v>
      </c>
      <c r="C11" s="38">
        <v>44643</v>
      </c>
      <c r="D11" s="171">
        <v>0.69388888889079681</v>
      </c>
      <c r="E11" s="163" t="s">
        <v>28</v>
      </c>
      <c r="F11" s="39" t="s">
        <v>1014</v>
      </c>
    </row>
    <row r="12" spans="2:8" x14ac:dyDescent="0.45">
      <c r="B12" s="161">
        <v>784</v>
      </c>
      <c r="C12" s="38">
        <v>44643</v>
      </c>
      <c r="D12" s="171">
        <v>0.69141203703475185</v>
      </c>
      <c r="E12" s="163" t="s">
        <v>28</v>
      </c>
      <c r="F12" s="39" t="s">
        <v>1013</v>
      </c>
      <c r="H12" s="25"/>
    </row>
    <row r="13" spans="2:8" x14ac:dyDescent="0.45">
      <c r="B13" s="161">
        <v>783</v>
      </c>
      <c r="C13" s="38">
        <v>44643</v>
      </c>
      <c r="D13" s="171">
        <v>0.67381944444787223</v>
      </c>
      <c r="E13" s="163" t="s">
        <v>28</v>
      </c>
      <c r="F13" s="39" t="s">
        <v>1011</v>
      </c>
      <c r="H13" s="25" t="s">
        <v>995</v>
      </c>
    </row>
    <row r="14" spans="2:8" x14ac:dyDescent="0.45">
      <c r="B14" s="161">
        <v>782</v>
      </c>
      <c r="C14" s="38">
        <v>44643</v>
      </c>
      <c r="D14" s="171">
        <v>0.63934027777577285</v>
      </c>
      <c r="E14" s="163" t="s">
        <v>28</v>
      </c>
      <c r="F14" s="44" t="s">
        <v>1007</v>
      </c>
    </row>
    <row r="15" spans="2:8" x14ac:dyDescent="0.45">
      <c r="B15" s="161">
        <v>781</v>
      </c>
      <c r="C15" s="38">
        <v>44613</v>
      </c>
      <c r="D15" s="171">
        <v>0.39086805555416504</v>
      </c>
      <c r="E15" s="163" t="s">
        <v>28</v>
      </c>
      <c r="F15" s="39" t="s">
        <v>1006</v>
      </c>
      <c r="H15" t="s">
        <v>992</v>
      </c>
    </row>
    <row r="16" spans="2:8" x14ac:dyDescent="0.45">
      <c r="B16" s="161">
        <v>780</v>
      </c>
      <c r="C16" s="38">
        <v>44550</v>
      </c>
      <c r="D16" s="171">
        <v>0.51340277777489973</v>
      </c>
      <c r="E16" s="163" t="s">
        <v>28</v>
      </c>
      <c r="F16" s="39" t="s">
        <v>1005</v>
      </c>
    </row>
    <row r="17" spans="2:6" x14ac:dyDescent="0.45">
      <c r="B17" s="161">
        <v>779</v>
      </c>
      <c r="C17" s="38">
        <v>44549</v>
      </c>
      <c r="D17" s="171">
        <v>0.70891203703649808</v>
      </c>
      <c r="E17" s="163" t="s">
        <v>28</v>
      </c>
      <c r="F17" s="39" t="s">
        <v>1004</v>
      </c>
    </row>
    <row r="18" spans="2:6" x14ac:dyDescent="0.45">
      <c r="B18" s="161">
        <v>778</v>
      </c>
      <c r="C18" s="38">
        <v>44549</v>
      </c>
      <c r="D18" s="171">
        <v>0.41085648148145992</v>
      </c>
      <c r="E18" s="163" t="s">
        <v>28</v>
      </c>
      <c r="F18" s="39" t="s">
        <v>1003</v>
      </c>
    </row>
    <row r="19" spans="2:6" x14ac:dyDescent="0.45">
      <c r="B19" s="161">
        <v>777</v>
      </c>
      <c r="C19" s="38">
        <v>44549</v>
      </c>
      <c r="D19" s="171">
        <v>0.40569444444554392</v>
      </c>
      <c r="E19" s="163" t="s">
        <v>28</v>
      </c>
      <c r="F19" s="44" t="s">
        <v>1001</v>
      </c>
    </row>
    <row r="20" spans="2:6" x14ac:dyDescent="0.45">
      <c r="B20" s="161">
        <v>776</v>
      </c>
      <c r="C20" s="38">
        <v>44540</v>
      </c>
      <c r="D20" s="171">
        <v>0.53090277777664596</v>
      </c>
      <c r="E20" s="163" t="s">
        <v>28</v>
      </c>
      <c r="F20" s="39" t="s">
        <v>998</v>
      </c>
    </row>
    <row r="21" spans="2:6" x14ac:dyDescent="0.45">
      <c r="B21" s="161">
        <v>775</v>
      </c>
      <c r="C21" s="38">
        <v>44539</v>
      </c>
      <c r="D21" s="171">
        <v>0.39711805555270985</v>
      </c>
      <c r="E21" s="163" t="s">
        <v>28</v>
      </c>
      <c r="F21" s="39" t="s">
        <v>997</v>
      </c>
    </row>
    <row r="22" spans="2:6" x14ac:dyDescent="0.45">
      <c r="B22" s="161">
        <v>774</v>
      </c>
      <c r="C22" s="38">
        <v>44538</v>
      </c>
      <c r="D22" s="171">
        <v>0.77774305555794854</v>
      </c>
      <c r="E22" s="163" t="s">
        <v>28</v>
      </c>
      <c r="F22" s="39" t="s">
        <v>996</v>
      </c>
    </row>
    <row r="23" spans="2:6" x14ac:dyDescent="0.45">
      <c r="B23" s="161">
        <v>773</v>
      </c>
      <c r="C23" s="38">
        <v>44538</v>
      </c>
      <c r="D23" s="171">
        <v>0.77516203703999054</v>
      </c>
      <c r="E23" s="163" t="s">
        <v>28</v>
      </c>
      <c r="F23" s="39" t="s">
        <v>994</v>
      </c>
    </row>
    <row r="24" spans="2:6" x14ac:dyDescent="0.45">
      <c r="B24" s="161">
        <v>772</v>
      </c>
      <c r="C24" s="38">
        <v>44538</v>
      </c>
      <c r="D24" s="171">
        <v>0.45082175925927004</v>
      </c>
      <c r="E24" s="163" t="s">
        <v>28</v>
      </c>
      <c r="F24" s="44" t="s">
        <v>993</v>
      </c>
    </row>
    <row r="25" spans="2:6" x14ac:dyDescent="0.45">
      <c r="B25" s="161">
        <v>771</v>
      </c>
      <c r="C25" s="38">
        <v>44537</v>
      </c>
      <c r="D25" s="171">
        <v>0.74674768518161727</v>
      </c>
      <c r="E25" s="163" t="s">
        <v>28</v>
      </c>
      <c r="F25" s="39" t="s">
        <v>991</v>
      </c>
    </row>
    <row r="26" spans="2:6" x14ac:dyDescent="0.45">
      <c r="B26" s="161">
        <v>770</v>
      </c>
      <c r="C26" s="38">
        <v>44533</v>
      </c>
      <c r="D26" s="171">
        <v>0.60043981481430819</v>
      </c>
      <c r="E26" s="163" t="s">
        <v>28</v>
      </c>
      <c r="F26" s="44" t="s">
        <v>990</v>
      </c>
    </row>
    <row r="27" spans="2:6" x14ac:dyDescent="0.45">
      <c r="B27" s="161">
        <v>769</v>
      </c>
      <c r="C27" s="38">
        <v>44532</v>
      </c>
      <c r="D27" s="171">
        <v>0.61824074073956581</v>
      </c>
      <c r="E27" s="163" t="s">
        <v>28</v>
      </c>
      <c r="F27" s="39" t="s">
        <v>989</v>
      </c>
    </row>
    <row r="28" spans="2:6" x14ac:dyDescent="0.45">
      <c r="B28" s="161">
        <v>768</v>
      </c>
      <c r="C28" s="38">
        <v>44532</v>
      </c>
      <c r="D28" s="171">
        <v>0.59693287037225673</v>
      </c>
      <c r="E28" s="163" t="s">
        <v>28</v>
      </c>
      <c r="F28" s="39" t="s">
        <v>987</v>
      </c>
    </row>
    <row r="29" spans="2:6" x14ac:dyDescent="0.45">
      <c r="B29" s="161">
        <v>767</v>
      </c>
      <c r="C29" s="38">
        <v>44532</v>
      </c>
      <c r="D29" s="171">
        <v>0.59574074074043892</v>
      </c>
      <c r="E29" s="163" t="s">
        <v>28</v>
      </c>
      <c r="F29" s="39" t="s">
        <v>986</v>
      </c>
    </row>
    <row r="30" spans="2:6" x14ac:dyDescent="0.45">
      <c r="B30" s="161">
        <v>766</v>
      </c>
      <c r="C30" s="38">
        <v>44532</v>
      </c>
      <c r="D30" s="171">
        <v>0.58093750000261934</v>
      </c>
      <c r="E30" s="163" t="s">
        <v>28</v>
      </c>
      <c r="F30" s="44" t="s">
        <v>985</v>
      </c>
    </row>
    <row r="31" spans="2:6" x14ac:dyDescent="0.45">
      <c r="B31" s="161">
        <v>765</v>
      </c>
      <c r="C31" s="38">
        <v>44532</v>
      </c>
      <c r="D31" s="171">
        <v>0.49783564815152204</v>
      </c>
      <c r="E31" s="163" t="s">
        <v>28</v>
      </c>
      <c r="F31" s="39" t="s">
        <v>984</v>
      </c>
    </row>
    <row r="32" spans="2:6" x14ac:dyDescent="0.45">
      <c r="B32" s="161">
        <v>764</v>
      </c>
      <c r="C32" s="38">
        <v>44531</v>
      </c>
      <c r="D32" s="171">
        <v>0.75024305555416504</v>
      </c>
      <c r="E32" s="163" t="s">
        <v>28</v>
      </c>
      <c r="F32" s="39" t="s">
        <v>982</v>
      </c>
    </row>
    <row r="33" spans="2:6" x14ac:dyDescent="0.45">
      <c r="B33" s="161">
        <v>763</v>
      </c>
      <c r="C33" s="38">
        <v>44531</v>
      </c>
      <c r="D33" s="171">
        <v>0.74459490740991896</v>
      </c>
      <c r="E33" s="163" t="s">
        <v>28</v>
      </c>
      <c r="F33" s="39" t="s">
        <v>981</v>
      </c>
    </row>
    <row r="34" spans="2:6" x14ac:dyDescent="0.45">
      <c r="B34" s="161">
        <v>762</v>
      </c>
      <c r="C34" s="38">
        <v>44531</v>
      </c>
      <c r="D34" s="171">
        <v>0.45960648148320615</v>
      </c>
      <c r="E34" s="163" t="s">
        <v>28</v>
      </c>
      <c r="F34" s="39" t="s">
        <v>979</v>
      </c>
    </row>
    <row r="35" spans="2:6" x14ac:dyDescent="0.45">
      <c r="B35" s="161">
        <v>761</v>
      </c>
      <c r="C35" s="38">
        <v>44531</v>
      </c>
      <c r="D35" s="171">
        <v>0.29957175925665069</v>
      </c>
      <c r="E35" s="163" t="s">
        <v>28</v>
      </c>
      <c r="F35" s="39" t="s">
        <v>931</v>
      </c>
    </row>
    <row r="36" spans="2:6" x14ac:dyDescent="0.45">
      <c r="B36" s="161">
        <v>760</v>
      </c>
      <c r="C36" s="38">
        <v>44530</v>
      </c>
      <c r="D36" s="171">
        <v>0.84730324074189411</v>
      </c>
      <c r="E36" s="163" t="s">
        <v>28</v>
      </c>
      <c r="F36" s="39" t="s">
        <v>978</v>
      </c>
    </row>
    <row r="37" spans="2:6" x14ac:dyDescent="0.45">
      <c r="B37" s="161">
        <v>759</v>
      </c>
      <c r="C37" s="38">
        <v>44530</v>
      </c>
      <c r="D37" s="171">
        <v>0.84348379629955161</v>
      </c>
      <c r="E37" s="163" t="s">
        <v>28</v>
      </c>
      <c r="F37" s="39" t="s">
        <v>977</v>
      </c>
    </row>
    <row r="38" spans="2:6" x14ac:dyDescent="0.45">
      <c r="B38" s="161">
        <v>758</v>
      </c>
      <c r="C38" s="38">
        <v>44530</v>
      </c>
      <c r="D38" s="171">
        <v>0.81325231481605442</v>
      </c>
      <c r="E38" s="163" t="s">
        <v>28</v>
      </c>
      <c r="F38" s="39" t="s">
        <v>976</v>
      </c>
    </row>
    <row r="39" spans="2:6" ht="57" x14ac:dyDescent="0.45">
      <c r="B39" s="161">
        <v>757</v>
      </c>
      <c r="C39" s="38">
        <v>44530</v>
      </c>
      <c r="D39" s="171">
        <v>0.37813657407241408</v>
      </c>
      <c r="E39" s="163" t="s">
        <v>28</v>
      </c>
      <c r="F39" s="44" t="s">
        <v>975</v>
      </c>
    </row>
    <row r="40" spans="2:6" x14ac:dyDescent="0.45">
      <c r="B40" s="161">
        <v>756</v>
      </c>
      <c r="C40" s="38">
        <v>44523</v>
      </c>
      <c r="D40" s="171">
        <v>0.44471064814570127</v>
      </c>
      <c r="E40" s="163" t="s">
        <v>28</v>
      </c>
      <c r="F40" s="44" t="s">
        <v>974</v>
      </c>
    </row>
    <row r="41" spans="2:6" ht="28.5" x14ac:dyDescent="0.45">
      <c r="B41" s="161">
        <v>755</v>
      </c>
      <c r="C41" s="38">
        <v>44523</v>
      </c>
      <c r="D41" s="171">
        <v>0.43247685184906004</v>
      </c>
      <c r="E41" s="163" t="s">
        <v>28</v>
      </c>
      <c r="F41" s="44" t="s">
        <v>973</v>
      </c>
    </row>
    <row r="42" spans="2:6" x14ac:dyDescent="0.45">
      <c r="B42" s="161">
        <v>754</v>
      </c>
      <c r="C42" s="38">
        <v>44522</v>
      </c>
      <c r="D42" s="171">
        <v>0.64998842592467554</v>
      </c>
      <c r="E42" s="163" t="s">
        <v>28</v>
      </c>
      <c r="F42" s="44" t="s">
        <v>972</v>
      </c>
    </row>
    <row r="43" spans="2:6" x14ac:dyDescent="0.45">
      <c r="B43" s="161">
        <v>753</v>
      </c>
      <c r="C43" s="38">
        <v>44522</v>
      </c>
      <c r="D43" s="171">
        <v>0.63306712963094469</v>
      </c>
      <c r="E43" s="163" t="s">
        <v>28</v>
      </c>
      <c r="F43" s="44" t="s">
        <v>971</v>
      </c>
    </row>
    <row r="44" spans="2:6" x14ac:dyDescent="0.45">
      <c r="B44" s="161">
        <v>752</v>
      </c>
      <c r="C44" s="38">
        <v>44519</v>
      </c>
      <c r="D44" s="171">
        <v>0.78912037036934635</v>
      </c>
      <c r="E44" s="163" t="s">
        <v>28</v>
      </c>
      <c r="F44" s="39" t="s">
        <v>970</v>
      </c>
    </row>
    <row r="45" spans="2:6" x14ac:dyDescent="0.45">
      <c r="B45" s="161">
        <v>751</v>
      </c>
      <c r="C45" s="38">
        <v>44519</v>
      </c>
      <c r="D45" s="171">
        <v>0.69761574074072996</v>
      </c>
      <c r="E45" s="163" t="s">
        <v>28</v>
      </c>
      <c r="F45" s="44" t="s">
        <v>969</v>
      </c>
    </row>
    <row r="46" spans="2:6" x14ac:dyDescent="0.45">
      <c r="B46" s="161">
        <v>750</v>
      </c>
      <c r="C46" s="38">
        <v>44519</v>
      </c>
      <c r="D46" s="171">
        <v>0.64973379629373085</v>
      </c>
      <c r="E46" s="163" t="s">
        <v>28</v>
      </c>
      <c r="F46" s="39" t="s">
        <v>968</v>
      </c>
    </row>
    <row r="47" spans="2:6" x14ac:dyDescent="0.45">
      <c r="B47" s="161">
        <v>749</v>
      </c>
      <c r="C47" s="38">
        <v>44476</v>
      </c>
      <c r="D47" s="171">
        <v>0.65140046296437504</v>
      </c>
      <c r="E47" s="163" t="s">
        <v>28</v>
      </c>
      <c r="F47" s="44" t="s">
        <v>967</v>
      </c>
    </row>
    <row r="48" spans="2:6" x14ac:dyDescent="0.45">
      <c r="B48" s="161">
        <v>748</v>
      </c>
      <c r="C48" s="38">
        <v>44476</v>
      </c>
      <c r="D48" s="171">
        <v>0.630266203705105</v>
      </c>
      <c r="E48" s="163" t="s">
        <v>28</v>
      </c>
      <c r="F48" s="44" t="s">
        <v>966</v>
      </c>
    </row>
    <row r="49" spans="2:6" x14ac:dyDescent="0.45">
      <c r="B49" s="161">
        <v>747</v>
      </c>
      <c r="C49" s="38">
        <v>44235</v>
      </c>
      <c r="D49" s="171">
        <v>0.64383101851854008</v>
      </c>
      <c r="E49" s="163" t="s">
        <v>28</v>
      </c>
      <c r="F49" s="39" t="s">
        <v>965</v>
      </c>
    </row>
    <row r="50" spans="2:6" x14ac:dyDescent="0.45">
      <c r="B50" s="161">
        <v>746</v>
      </c>
      <c r="C50" s="38">
        <v>44231</v>
      </c>
      <c r="D50" s="171">
        <v>0.76320601852057735</v>
      </c>
      <c r="E50" s="163" t="s">
        <v>28</v>
      </c>
      <c r="F50" s="39" t="s">
        <v>964</v>
      </c>
    </row>
    <row r="51" spans="2:6" x14ac:dyDescent="0.45">
      <c r="B51" s="161">
        <v>745</v>
      </c>
      <c r="C51" s="38">
        <v>44172</v>
      </c>
      <c r="D51" s="171">
        <v>0.65923611111065838</v>
      </c>
      <c r="E51" s="163" t="s">
        <v>28</v>
      </c>
      <c r="F51" s="39" t="s">
        <v>961</v>
      </c>
    </row>
    <row r="52" spans="2:6" x14ac:dyDescent="0.45">
      <c r="B52" s="161">
        <v>744</v>
      </c>
      <c r="C52" s="38">
        <v>44172</v>
      </c>
      <c r="D52" s="171">
        <v>0.64739583332993789</v>
      </c>
      <c r="E52" s="163" t="s">
        <v>28</v>
      </c>
      <c r="F52" s="39" t="s">
        <v>960</v>
      </c>
    </row>
    <row r="53" spans="2:6" x14ac:dyDescent="0.45">
      <c r="B53" s="161">
        <v>743</v>
      </c>
      <c r="C53" s="38">
        <v>44167</v>
      </c>
      <c r="D53" s="171">
        <v>0.73064814815006685</v>
      </c>
      <c r="E53" s="163" t="s">
        <v>28</v>
      </c>
      <c r="F53" s="39" t="s">
        <v>959</v>
      </c>
    </row>
    <row r="54" spans="2:6" x14ac:dyDescent="0.45">
      <c r="B54" s="161">
        <v>742</v>
      </c>
      <c r="C54" s="38">
        <v>44167</v>
      </c>
      <c r="D54" s="171">
        <v>0.72763888888584916</v>
      </c>
      <c r="E54" s="163" t="s">
        <v>28</v>
      </c>
      <c r="F54" s="39" t="s">
        <v>958</v>
      </c>
    </row>
    <row r="55" spans="2:6" x14ac:dyDescent="0.45">
      <c r="B55" s="161">
        <v>741</v>
      </c>
      <c r="C55" s="38">
        <v>44166</v>
      </c>
      <c r="D55" s="171">
        <v>0.81228009259211831</v>
      </c>
      <c r="E55" s="163" t="s">
        <v>28</v>
      </c>
      <c r="F55" s="44" t="s">
        <v>957</v>
      </c>
    </row>
    <row r="56" spans="2:6" x14ac:dyDescent="0.45">
      <c r="B56" s="161">
        <v>740</v>
      </c>
      <c r="C56" s="38">
        <v>44166</v>
      </c>
      <c r="D56" s="171">
        <v>0.45879629629780538</v>
      </c>
      <c r="E56" s="163" t="s">
        <v>28</v>
      </c>
      <c r="F56" s="39" t="s">
        <v>956</v>
      </c>
    </row>
    <row r="57" spans="2:6" x14ac:dyDescent="0.45">
      <c r="B57" s="161">
        <v>739</v>
      </c>
      <c r="C57" s="38">
        <v>44165</v>
      </c>
      <c r="D57" s="171">
        <v>0.72534722222189885</v>
      </c>
      <c r="E57" s="163" t="s">
        <v>28</v>
      </c>
      <c r="F57" s="39" t="s">
        <v>739</v>
      </c>
    </row>
    <row r="58" spans="2:6" x14ac:dyDescent="0.45">
      <c r="B58" s="161">
        <v>738</v>
      </c>
      <c r="C58" s="38">
        <v>44165</v>
      </c>
      <c r="D58" s="171">
        <v>0.72381944444350665</v>
      </c>
      <c r="E58" s="163" t="s">
        <v>28</v>
      </c>
      <c r="F58" s="39" t="s">
        <v>955</v>
      </c>
    </row>
    <row r="59" spans="2:6" x14ac:dyDescent="0.45">
      <c r="B59" s="161">
        <v>737</v>
      </c>
      <c r="C59" s="38">
        <v>44165</v>
      </c>
      <c r="D59" s="171">
        <v>0.68795138888526708</v>
      </c>
      <c r="E59" s="163" t="s">
        <v>28</v>
      </c>
      <c r="F59" s="39" t="s">
        <v>954</v>
      </c>
    </row>
    <row r="60" spans="2:6" x14ac:dyDescent="0.45">
      <c r="B60" s="161">
        <v>736</v>
      </c>
      <c r="C60" s="38">
        <v>44162</v>
      </c>
      <c r="D60" s="171">
        <v>0.63442129629402189</v>
      </c>
      <c r="E60" s="163" t="s">
        <v>28</v>
      </c>
      <c r="F60" s="39" t="s">
        <v>953</v>
      </c>
    </row>
    <row r="61" spans="2:6" x14ac:dyDescent="0.45">
      <c r="B61" s="161">
        <v>735</v>
      </c>
      <c r="C61" s="38">
        <v>44161</v>
      </c>
      <c r="D61" s="171">
        <v>0.70277777777664596</v>
      </c>
      <c r="E61" s="163" t="s">
        <v>28</v>
      </c>
      <c r="F61" s="44" t="s">
        <v>952</v>
      </c>
    </row>
    <row r="62" spans="2:6" x14ac:dyDescent="0.45">
      <c r="B62" s="161">
        <v>734</v>
      </c>
      <c r="C62" s="38">
        <v>44160</v>
      </c>
      <c r="D62" s="171">
        <v>0.68187500000203727</v>
      </c>
      <c r="E62" s="163" t="s">
        <v>28</v>
      </c>
      <c r="F62" s="39" t="s">
        <v>951</v>
      </c>
    </row>
    <row r="63" spans="2:6" x14ac:dyDescent="0.45">
      <c r="B63" s="161">
        <v>733</v>
      </c>
      <c r="C63" s="38">
        <v>44158</v>
      </c>
      <c r="D63" s="171">
        <v>0.83903935184935108</v>
      </c>
      <c r="E63" s="163" t="s">
        <v>28</v>
      </c>
      <c r="F63" s="39" t="s">
        <v>950</v>
      </c>
    </row>
    <row r="64" spans="2:6" x14ac:dyDescent="0.45">
      <c r="B64" s="161">
        <v>732</v>
      </c>
      <c r="C64" s="38">
        <v>44158</v>
      </c>
      <c r="D64" s="171">
        <v>0.83379629629780538</v>
      </c>
      <c r="E64" s="163" t="s">
        <v>28</v>
      </c>
      <c r="F64" s="39" t="s">
        <v>949</v>
      </c>
    </row>
    <row r="65" spans="2:6" x14ac:dyDescent="0.45">
      <c r="B65" s="161">
        <v>731</v>
      </c>
      <c r="C65" s="38">
        <v>44155</v>
      </c>
      <c r="D65" s="171">
        <v>0.66194444444408873</v>
      </c>
      <c r="E65" s="163" t="s">
        <v>28</v>
      </c>
      <c r="F65" s="39" t="s">
        <v>946</v>
      </c>
    </row>
    <row r="66" spans="2:6" x14ac:dyDescent="0.45">
      <c r="B66" s="161">
        <v>730</v>
      </c>
      <c r="C66" s="38">
        <v>44154</v>
      </c>
      <c r="D66" s="171">
        <v>0.70289351851533866</v>
      </c>
      <c r="E66" s="163" t="s">
        <v>28</v>
      </c>
      <c r="F66" s="39" t="s">
        <v>945</v>
      </c>
    </row>
    <row r="67" spans="2:6" x14ac:dyDescent="0.45">
      <c r="B67" s="161">
        <v>729</v>
      </c>
      <c r="C67" s="38">
        <v>44154</v>
      </c>
      <c r="D67" s="171">
        <v>0.45495370370190358</v>
      </c>
      <c r="E67" s="163" t="s">
        <v>28</v>
      </c>
      <c r="F67" s="39" t="s">
        <v>944</v>
      </c>
    </row>
    <row r="68" spans="2:6" x14ac:dyDescent="0.45">
      <c r="B68" s="161">
        <v>728</v>
      </c>
      <c r="C68" s="38">
        <v>44154</v>
      </c>
      <c r="D68" s="171">
        <v>0.45158564814482816</v>
      </c>
      <c r="E68" s="163" t="s">
        <v>28</v>
      </c>
      <c r="F68" s="39" t="s">
        <v>615</v>
      </c>
    </row>
    <row r="69" spans="2:6" x14ac:dyDescent="0.45">
      <c r="B69" s="161">
        <v>727</v>
      </c>
      <c r="C69" s="38">
        <v>44154</v>
      </c>
      <c r="D69" s="171">
        <v>0.44975694444292458</v>
      </c>
      <c r="E69" s="163" t="s">
        <v>28</v>
      </c>
      <c r="F69" s="39" t="s">
        <v>942</v>
      </c>
    </row>
    <row r="70" spans="2:6" x14ac:dyDescent="0.45">
      <c r="B70" s="161">
        <v>726</v>
      </c>
      <c r="C70" s="38">
        <v>44154</v>
      </c>
      <c r="D70" s="171">
        <v>0.44181712962745223</v>
      </c>
      <c r="E70" s="163" t="s">
        <v>28</v>
      </c>
      <c r="F70" s="39" t="s">
        <v>739</v>
      </c>
    </row>
    <row r="71" spans="2:6" x14ac:dyDescent="0.45">
      <c r="B71" s="161">
        <v>725</v>
      </c>
      <c r="C71" s="38">
        <v>44154</v>
      </c>
      <c r="D71" s="171">
        <v>0.43421296296583023</v>
      </c>
      <c r="E71" s="163" t="s">
        <v>28</v>
      </c>
      <c r="F71" s="39" t="s">
        <v>941</v>
      </c>
    </row>
    <row r="72" spans="2:6" x14ac:dyDescent="0.45">
      <c r="B72" s="161">
        <v>724</v>
      </c>
      <c r="C72" s="38">
        <v>44154</v>
      </c>
      <c r="D72" s="171">
        <v>0.42467592592583969</v>
      </c>
      <c r="E72" s="163" t="s">
        <v>28</v>
      </c>
      <c r="F72" s="39" t="s">
        <v>937</v>
      </c>
    </row>
    <row r="73" spans="2:6" x14ac:dyDescent="0.45">
      <c r="B73" s="161">
        <v>723</v>
      </c>
      <c r="C73" s="38">
        <v>44154</v>
      </c>
      <c r="D73" s="171">
        <v>0.40278935185051523</v>
      </c>
      <c r="E73" s="163" t="s">
        <v>28</v>
      </c>
      <c r="F73" s="44" t="s">
        <v>934</v>
      </c>
    </row>
    <row r="74" spans="2:6" x14ac:dyDescent="0.45">
      <c r="B74" s="161">
        <v>722</v>
      </c>
      <c r="C74" s="38">
        <v>44153</v>
      </c>
      <c r="D74" s="171">
        <v>0.99925925926072523</v>
      </c>
      <c r="E74" s="163" t="s">
        <v>28</v>
      </c>
      <c r="F74" s="39" t="s">
        <v>933</v>
      </c>
    </row>
    <row r="75" spans="2:6" x14ac:dyDescent="0.45">
      <c r="B75" s="161">
        <v>721</v>
      </c>
      <c r="C75" s="38">
        <v>44153</v>
      </c>
      <c r="D75" s="171">
        <v>0.98567129629373085</v>
      </c>
      <c r="E75" s="163" t="s">
        <v>28</v>
      </c>
      <c r="F75" s="39" t="s">
        <v>932</v>
      </c>
    </row>
    <row r="76" spans="2:6" x14ac:dyDescent="0.45">
      <c r="B76" s="161">
        <v>720</v>
      </c>
      <c r="C76" s="38">
        <v>44153</v>
      </c>
      <c r="D76" s="171">
        <v>0.98350694444525288</v>
      </c>
      <c r="E76" s="163" t="s">
        <v>28</v>
      </c>
      <c r="F76" s="39" t="s">
        <v>931</v>
      </c>
    </row>
    <row r="77" spans="2:6" x14ac:dyDescent="0.45">
      <c r="B77" s="161">
        <v>719</v>
      </c>
      <c r="C77" s="38">
        <v>44153</v>
      </c>
      <c r="D77" s="171">
        <v>0.96013888889137888</v>
      </c>
      <c r="E77" s="163" t="s">
        <v>28</v>
      </c>
      <c r="F77" s="39" t="s">
        <v>930</v>
      </c>
    </row>
    <row r="78" spans="2:6" x14ac:dyDescent="0.45">
      <c r="B78" s="161">
        <v>718</v>
      </c>
      <c r="C78" s="38">
        <v>44153</v>
      </c>
      <c r="D78" s="171">
        <v>0.95160879629838746</v>
      </c>
      <c r="E78" s="163" t="s">
        <v>28</v>
      </c>
      <c r="F78" s="44" t="s">
        <v>929</v>
      </c>
    </row>
    <row r="79" spans="2:6" x14ac:dyDescent="0.45">
      <c r="B79" s="161">
        <v>717</v>
      </c>
      <c r="C79" s="38">
        <v>44153</v>
      </c>
      <c r="D79" s="171">
        <v>0.83064814814861165</v>
      </c>
      <c r="E79" s="163" t="s">
        <v>28</v>
      </c>
      <c r="F79" s="39" t="s">
        <v>928</v>
      </c>
    </row>
    <row r="80" spans="2:6" x14ac:dyDescent="0.45">
      <c r="B80" s="161">
        <v>716</v>
      </c>
      <c r="C80" s="38">
        <v>44153</v>
      </c>
      <c r="D80" s="171">
        <v>0.79833333333226619</v>
      </c>
      <c r="E80" s="163" t="s">
        <v>28</v>
      </c>
      <c r="F80" s="39" t="s">
        <v>927</v>
      </c>
    </row>
    <row r="81" spans="2:6" x14ac:dyDescent="0.45">
      <c r="B81" s="161">
        <v>715</v>
      </c>
      <c r="C81" s="38">
        <v>44153</v>
      </c>
      <c r="D81" s="171">
        <v>0.773576388892252</v>
      </c>
      <c r="E81" s="163" t="s">
        <v>28</v>
      </c>
      <c r="F81" s="39" t="s">
        <v>926</v>
      </c>
    </row>
    <row r="82" spans="2:6" x14ac:dyDescent="0.45">
      <c r="B82" s="161">
        <v>714</v>
      </c>
      <c r="C82" s="38">
        <v>44153</v>
      </c>
      <c r="D82" s="171">
        <v>0.75432870370423188</v>
      </c>
      <c r="E82" s="163" t="s">
        <v>28</v>
      </c>
      <c r="F82" s="39" t="s">
        <v>925</v>
      </c>
    </row>
    <row r="83" spans="2:6" x14ac:dyDescent="0.45">
      <c r="B83" s="161">
        <v>713</v>
      </c>
      <c r="C83" s="38">
        <v>44153</v>
      </c>
      <c r="D83" s="171">
        <v>0.73751157407241408</v>
      </c>
      <c r="E83" s="163" t="s">
        <v>28</v>
      </c>
      <c r="F83" s="44" t="s">
        <v>924</v>
      </c>
    </row>
    <row r="84" spans="2:6" x14ac:dyDescent="0.45">
      <c r="B84" s="161">
        <v>712</v>
      </c>
      <c r="C84" s="38">
        <v>44153</v>
      </c>
      <c r="D84" s="171">
        <v>0.72262731481168885</v>
      </c>
      <c r="E84" s="163" t="s">
        <v>28</v>
      </c>
      <c r="F84" s="39" t="s">
        <v>923</v>
      </c>
    </row>
    <row r="85" spans="2:6" x14ac:dyDescent="0.45">
      <c r="B85" s="161">
        <v>711</v>
      </c>
      <c r="C85" s="38">
        <v>44153</v>
      </c>
      <c r="D85" s="171">
        <v>0.71662037036730908</v>
      </c>
      <c r="E85" s="163" t="s">
        <v>28</v>
      </c>
      <c r="F85" s="39" t="s">
        <v>922</v>
      </c>
    </row>
    <row r="86" spans="2:6" x14ac:dyDescent="0.45">
      <c r="B86" s="161">
        <v>710</v>
      </c>
      <c r="C86" s="38">
        <v>44153</v>
      </c>
      <c r="D86" s="171">
        <v>0.64143518518540077</v>
      </c>
      <c r="E86" s="163" t="s">
        <v>28</v>
      </c>
      <c r="F86" s="39" t="s">
        <v>920</v>
      </c>
    </row>
    <row r="87" spans="2:6" x14ac:dyDescent="0.45">
      <c r="B87" s="161">
        <v>709</v>
      </c>
      <c r="C87" s="38">
        <v>44153</v>
      </c>
      <c r="D87" s="171">
        <v>0.63348379629314877</v>
      </c>
      <c r="E87" s="163" t="s">
        <v>28</v>
      </c>
      <c r="F87" s="39" t="s">
        <v>919</v>
      </c>
    </row>
    <row r="88" spans="2:6" x14ac:dyDescent="0.45">
      <c r="B88" s="161">
        <v>708</v>
      </c>
      <c r="C88" s="38">
        <v>44153</v>
      </c>
      <c r="D88" s="171">
        <v>0.55806712962657912</v>
      </c>
      <c r="E88" s="163" t="s">
        <v>28</v>
      </c>
      <c r="F88" s="39" t="s">
        <v>917</v>
      </c>
    </row>
    <row r="89" spans="2:6" x14ac:dyDescent="0.45">
      <c r="B89" s="161">
        <v>707</v>
      </c>
      <c r="C89" s="38">
        <v>44153</v>
      </c>
      <c r="D89" s="171">
        <v>0.55436342592292931</v>
      </c>
      <c r="E89" s="163" t="s">
        <v>28</v>
      </c>
      <c r="F89" s="39" t="s">
        <v>916</v>
      </c>
    </row>
    <row r="90" spans="2:6" x14ac:dyDescent="0.45">
      <c r="B90" s="161">
        <v>706</v>
      </c>
      <c r="C90" s="38">
        <v>44153</v>
      </c>
      <c r="D90" s="171">
        <v>0.54199074074131204</v>
      </c>
      <c r="E90" s="163" t="s">
        <v>28</v>
      </c>
      <c r="F90" s="44" t="s">
        <v>915</v>
      </c>
    </row>
    <row r="91" spans="2:6" x14ac:dyDescent="0.45">
      <c r="B91" s="161">
        <v>705</v>
      </c>
      <c r="C91" s="38">
        <v>44153</v>
      </c>
      <c r="D91" s="171">
        <v>0.53829861111444188</v>
      </c>
      <c r="E91" s="163" t="s">
        <v>28</v>
      </c>
      <c r="F91" s="39" t="s">
        <v>913</v>
      </c>
    </row>
    <row r="92" spans="2:6" x14ac:dyDescent="0.45">
      <c r="B92" s="161">
        <v>704</v>
      </c>
      <c r="C92" s="38">
        <v>44153</v>
      </c>
      <c r="D92" s="171">
        <v>0.53559027778101154</v>
      </c>
      <c r="E92" s="163" t="s">
        <v>28</v>
      </c>
      <c r="F92" s="39" t="s">
        <v>912</v>
      </c>
    </row>
    <row r="93" spans="2:6" x14ac:dyDescent="0.45">
      <c r="B93" s="161">
        <v>703</v>
      </c>
      <c r="C93" s="38">
        <v>44153</v>
      </c>
      <c r="D93" s="171">
        <v>0.52646990741050104</v>
      </c>
      <c r="E93" s="163" t="s">
        <v>28</v>
      </c>
      <c r="F93" s="39" t="s">
        <v>911</v>
      </c>
    </row>
    <row r="94" spans="2:6" x14ac:dyDescent="0.45">
      <c r="B94" s="161">
        <v>702</v>
      </c>
      <c r="C94" s="38">
        <v>44153</v>
      </c>
      <c r="D94" s="171">
        <v>0.43461805555853061</v>
      </c>
      <c r="E94" s="163" t="s">
        <v>28</v>
      </c>
      <c r="F94" s="39" t="s">
        <v>548</v>
      </c>
    </row>
    <row r="95" spans="2:6" x14ac:dyDescent="0.45">
      <c r="B95" s="161">
        <v>701</v>
      </c>
      <c r="C95" s="38">
        <v>44152</v>
      </c>
      <c r="D95" s="171">
        <v>0.71204861110891216</v>
      </c>
      <c r="E95" s="163" t="s">
        <v>28</v>
      </c>
      <c r="F95" s="39" t="s">
        <v>910</v>
      </c>
    </row>
    <row r="96" spans="2:6" x14ac:dyDescent="0.45">
      <c r="B96" s="161">
        <v>700</v>
      </c>
      <c r="C96" s="38">
        <v>44152</v>
      </c>
      <c r="D96" s="171">
        <v>0.67920138889166992</v>
      </c>
      <c r="E96" s="163" t="s">
        <v>28</v>
      </c>
      <c r="F96" s="39" t="s">
        <v>909</v>
      </c>
    </row>
    <row r="97" spans="2:6" x14ac:dyDescent="0.45">
      <c r="B97" s="161">
        <v>699</v>
      </c>
      <c r="C97" s="38">
        <v>44152</v>
      </c>
      <c r="D97" s="171">
        <v>0.67212962963094469</v>
      </c>
      <c r="E97" s="163" t="s">
        <v>28</v>
      </c>
      <c r="F97" s="44" t="s">
        <v>908</v>
      </c>
    </row>
    <row r="98" spans="2:6" x14ac:dyDescent="0.45">
      <c r="B98" s="161">
        <v>698</v>
      </c>
      <c r="C98" s="38">
        <v>44152</v>
      </c>
      <c r="D98" s="171">
        <v>0.48473379629285773</v>
      </c>
      <c r="E98" s="163" t="s">
        <v>28</v>
      </c>
      <c r="F98" s="39" t="s">
        <v>907</v>
      </c>
    </row>
    <row r="99" spans="2:6" x14ac:dyDescent="0.45">
      <c r="B99" s="161">
        <v>697</v>
      </c>
      <c r="C99" s="38">
        <v>44151</v>
      </c>
      <c r="D99" s="171">
        <v>0.6575231481474475</v>
      </c>
      <c r="E99" s="163" t="s">
        <v>28</v>
      </c>
      <c r="F99" s="39" t="s">
        <v>906</v>
      </c>
    </row>
    <row r="100" spans="2:6" x14ac:dyDescent="0.45">
      <c r="B100" s="161">
        <v>696</v>
      </c>
      <c r="C100" s="38">
        <v>44151</v>
      </c>
      <c r="D100" s="171">
        <v>0.62712962963269092</v>
      </c>
      <c r="E100" s="163" t="s">
        <v>28</v>
      </c>
      <c r="F100" s="39" t="s">
        <v>904</v>
      </c>
    </row>
    <row r="101" spans="2:6" x14ac:dyDescent="0.45">
      <c r="B101" s="161">
        <v>695</v>
      </c>
      <c r="C101" s="38">
        <v>44151</v>
      </c>
      <c r="D101" s="171">
        <v>0.60684027777460869</v>
      </c>
      <c r="E101" s="163" t="s">
        <v>28</v>
      </c>
      <c r="F101" s="44" t="s">
        <v>905</v>
      </c>
    </row>
    <row r="102" spans="2:6" x14ac:dyDescent="0.45">
      <c r="B102" s="161">
        <v>694</v>
      </c>
      <c r="C102" s="38">
        <v>44148</v>
      </c>
      <c r="D102" s="171">
        <v>0.90787037037080154</v>
      </c>
      <c r="E102" s="163" t="s">
        <v>28</v>
      </c>
      <c r="F102" s="39" t="s">
        <v>903</v>
      </c>
    </row>
    <row r="103" spans="2:6" x14ac:dyDescent="0.45">
      <c r="B103" s="161">
        <v>693</v>
      </c>
      <c r="C103" s="38">
        <v>44148</v>
      </c>
      <c r="D103" s="171">
        <v>0.90681712963123573</v>
      </c>
      <c r="E103" s="163" t="s">
        <v>28</v>
      </c>
      <c r="F103" s="39" t="s">
        <v>902</v>
      </c>
    </row>
    <row r="104" spans="2:6" x14ac:dyDescent="0.45">
      <c r="B104" s="161">
        <v>692</v>
      </c>
      <c r="C104" s="38">
        <v>44148</v>
      </c>
      <c r="D104" s="171">
        <v>0.90354166666656965</v>
      </c>
      <c r="E104" s="163" t="s">
        <v>28</v>
      </c>
      <c r="F104" s="44" t="s">
        <v>901</v>
      </c>
    </row>
    <row r="105" spans="2:6" x14ac:dyDescent="0.45">
      <c r="B105" s="161">
        <v>691</v>
      </c>
      <c r="C105" s="38">
        <v>44148</v>
      </c>
      <c r="D105" s="171">
        <v>0.90020833333255723</v>
      </c>
      <c r="E105" s="163" t="s">
        <v>28</v>
      </c>
      <c r="F105" s="39" t="s">
        <v>900</v>
      </c>
    </row>
    <row r="106" spans="2:6" x14ac:dyDescent="0.45">
      <c r="B106" s="161">
        <v>690</v>
      </c>
      <c r="C106" s="38">
        <v>44148</v>
      </c>
      <c r="D106" s="171">
        <v>0.84605324074072996</v>
      </c>
      <c r="E106" s="163" t="s">
        <v>28</v>
      </c>
      <c r="F106" s="39" t="s">
        <v>896</v>
      </c>
    </row>
    <row r="107" spans="2:6" x14ac:dyDescent="0.45">
      <c r="B107" s="161">
        <v>689</v>
      </c>
      <c r="C107" s="38">
        <v>44148</v>
      </c>
      <c r="D107" s="171">
        <v>0.8424768518525525</v>
      </c>
      <c r="E107" s="163" t="s">
        <v>28</v>
      </c>
      <c r="F107" s="39" t="s">
        <v>895</v>
      </c>
    </row>
    <row r="108" spans="2:6" x14ac:dyDescent="0.45">
      <c r="B108" s="161">
        <v>688</v>
      </c>
      <c r="C108" s="38">
        <v>44148</v>
      </c>
      <c r="D108" s="171">
        <v>0.43130787037080154</v>
      </c>
      <c r="E108" s="163" t="s">
        <v>28</v>
      </c>
      <c r="F108" s="39" t="s">
        <v>894</v>
      </c>
    </row>
    <row r="109" spans="2:6" x14ac:dyDescent="0.45">
      <c r="B109" s="161">
        <v>687</v>
      </c>
      <c r="C109" s="38">
        <v>44147</v>
      </c>
      <c r="D109" s="171">
        <v>0.66927083333575865</v>
      </c>
      <c r="E109" s="163" t="s">
        <v>28</v>
      </c>
      <c r="F109" s="44" t="s">
        <v>881</v>
      </c>
    </row>
    <row r="110" spans="2:6" x14ac:dyDescent="0.45">
      <c r="B110" s="161">
        <v>686</v>
      </c>
      <c r="C110" s="38">
        <v>44147</v>
      </c>
      <c r="D110" s="171">
        <v>0.46716435185226146</v>
      </c>
      <c r="E110" s="163" t="s">
        <v>28</v>
      </c>
      <c r="F110" s="44" t="s">
        <v>880</v>
      </c>
    </row>
    <row r="111" spans="2:6" x14ac:dyDescent="0.45">
      <c r="B111" s="161">
        <v>685</v>
      </c>
      <c r="C111" s="38">
        <v>44147</v>
      </c>
      <c r="D111" s="171">
        <v>0.4518171296294895</v>
      </c>
      <c r="E111" s="163" t="s">
        <v>28</v>
      </c>
      <c r="F111" s="39" t="s">
        <v>879</v>
      </c>
    </row>
    <row r="112" spans="2:6" x14ac:dyDescent="0.45">
      <c r="B112" s="161">
        <v>684</v>
      </c>
      <c r="C112" s="38">
        <v>44147</v>
      </c>
      <c r="D112" s="171">
        <v>0.41502314814715646</v>
      </c>
      <c r="E112" s="163" t="s">
        <v>28</v>
      </c>
      <c r="F112" s="133" t="s">
        <v>878</v>
      </c>
    </row>
    <row r="113" spans="2:6" x14ac:dyDescent="0.45">
      <c r="B113" s="161">
        <v>683</v>
      </c>
      <c r="C113" s="38">
        <v>44130</v>
      </c>
      <c r="D113" s="171">
        <v>0.69871527778013842</v>
      </c>
      <c r="E113" s="163" t="s">
        <v>28</v>
      </c>
      <c r="F113" s="39" t="s">
        <v>877</v>
      </c>
    </row>
    <row r="114" spans="2:6" x14ac:dyDescent="0.45">
      <c r="B114" s="161">
        <v>682</v>
      </c>
      <c r="C114" s="38">
        <v>44120</v>
      </c>
      <c r="D114" s="171">
        <v>0.67516203703416977</v>
      </c>
      <c r="E114" s="163" t="s">
        <v>28</v>
      </c>
      <c r="F114" s="39" t="s">
        <v>876</v>
      </c>
    </row>
    <row r="115" spans="2:6" x14ac:dyDescent="0.45">
      <c r="B115" s="161">
        <v>681</v>
      </c>
      <c r="C115" s="38">
        <v>44118</v>
      </c>
      <c r="D115" s="171">
        <v>0.42496527777984738</v>
      </c>
      <c r="E115" s="163" t="s">
        <v>28</v>
      </c>
      <c r="F115" s="39" t="s">
        <v>875</v>
      </c>
    </row>
    <row r="116" spans="2:6" x14ac:dyDescent="0.45">
      <c r="B116" s="161">
        <v>680</v>
      </c>
      <c r="C116" s="38">
        <v>44117</v>
      </c>
      <c r="D116" s="171">
        <v>0.69594907407736173</v>
      </c>
      <c r="E116" s="163" t="s">
        <v>28</v>
      </c>
      <c r="F116" s="39" t="s">
        <v>874</v>
      </c>
    </row>
    <row r="117" spans="2:6" x14ac:dyDescent="0.45">
      <c r="B117" s="161">
        <v>679</v>
      </c>
      <c r="C117" s="38">
        <v>44112</v>
      </c>
      <c r="D117" s="171">
        <v>0.70876157407474238</v>
      </c>
      <c r="E117" s="163" t="s">
        <v>28</v>
      </c>
      <c r="F117" s="39" t="s">
        <v>873</v>
      </c>
    </row>
    <row r="118" spans="2:6" x14ac:dyDescent="0.45">
      <c r="B118" s="161">
        <v>678</v>
      </c>
      <c r="C118" s="38">
        <v>44096</v>
      </c>
      <c r="D118" s="171">
        <v>0.7225694444423425</v>
      </c>
      <c r="E118" s="163" t="s">
        <v>28</v>
      </c>
      <c r="F118" s="39" t="s">
        <v>872</v>
      </c>
    </row>
    <row r="119" spans="2:6" x14ac:dyDescent="0.45">
      <c r="B119" s="161">
        <v>677</v>
      </c>
      <c r="C119" s="38">
        <v>44092</v>
      </c>
      <c r="D119" s="171">
        <v>0.73403935185342561</v>
      </c>
      <c r="E119" s="163" t="s">
        <v>28</v>
      </c>
      <c r="F119" s="39" t="s">
        <v>871</v>
      </c>
    </row>
    <row r="120" spans="2:6" x14ac:dyDescent="0.45">
      <c r="B120" s="161">
        <v>676</v>
      </c>
      <c r="C120" s="38">
        <v>44092</v>
      </c>
      <c r="D120" s="171">
        <v>0.68083333333197515</v>
      </c>
      <c r="E120" s="163" t="s">
        <v>28</v>
      </c>
      <c r="F120" s="44" t="s">
        <v>870</v>
      </c>
    </row>
    <row r="121" spans="2:6" ht="28.5" x14ac:dyDescent="0.45">
      <c r="B121" s="161">
        <v>675</v>
      </c>
      <c r="C121" s="38">
        <v>44091</v>
      </c>
      <c r="D121" s="171">
        <v>0.60252314814715646</v>
      </c>
      <c r="E121" s="163" t="s">
        <v>28</v>
      </c>
      <c r="F121" s="44" t="s">
        <v>869</v>
      </c>
    </row>
    <row r="122" spans="2:6" x14ac:dyDescent="0.45">
      <c r="B122" s="161">
        <v>674</v>
      </c>
      <c r="C122" s="38">
        <v>44077</v>
      </c>
      <c r="D122" s="171">
        <v>0.71978009259328246</v>
      </c>
      <c r="E122" s="163" t="s">
        <v>28</v>
      </c>
      <c r="F122" s="39" t="s">
        <v>867</v>
      </c>
    </row>
    <row r="123" spans="2:6" x14ac:dyDescent="0.45">
      <c r="B123" s="161">
        <v>673</v>
      </c>
      <c r="C123" s="38">
        <v>44070</v>
      </c>
      <c r="D123" s="171">
        <v>0.74384259259386454</v>
      </c>
      <c r="E123" s="163" t="s">
        <v>28</v>
      </c>
      <c r="F123" s="39" t="s">
        <v>866</v>
      </c>
    </row>
    <row r="124" spans="2:6" x14ac:dyDescent="0.45">
      <c r="B124" s="161">
        <v>672</v>
      </c>
      <c r="C124" s="38">
        <v>44070</v>
      </c>
      <c r="D124" s="171">
        <v>0.71583333333546761</v>
      </c>
      <c r="E124" s="163" t="s">
        <v>28</v>
      </c>
      <c r="F124" s="39" t="s">
        <v>865</v>
      </c>
    </row>
    <row r="125" spans="2:6" x14ac:dyDescent="0.45">
      <c r="B125" s="161">
        <v>671</v>
      </c>
      <c r="C125" s="38">
        <v>44070</v>
      </c>
      <c r="D125" s="171">
        <v>0.66210648148262408</v>
      </c>
      <c r="E125" s="163" t="s">
        <v>28</v>
      </c>
      <c r="F125" s="44" t="s">
        <v>864</v>
      </c>
    </row>
    <row r="126" spans="2:6" x14ac:dyDescent="0.45">
      <c r="B126" s="161">
        <v>670</v>
      </c>
      <c r="C126" s="38">
        <v>44070</v>
      </c>
      <c r="D126" s="171">
        <v>0.52932870370568708</v>
      </c>
      <c r="E126" s="163" t="s">
        <v>28</v>
      </c>
      <c r="F126" s="44" t="s">
        <v>863</v>
      </c>
    </row>
    <row r="127" spans="2:6" x14ac:dyDescent="0.45">
      <c r="B127" s="161">
        <v>669</v>
      </c>
      <c r="C127" s="38">
        <v>44069</v>
      </c>
      <c r="D127" s="171">
        <v>0.65361111111269565</v>
      </c>
      <c r="E127" s="163" t="s">
        <v>28</v>
      </c>
      <c r="F127" s="39" t="s">
        <v>862</v>
      </c>
    </row>
    <row r="128" spans="2:6" ht="28.5" x14ac:dyDescent="0.45">
      <c r="B128" s="161">
        <v>668</v>
      </c>
      <c r="C128" s="38">
        <v>44067</v>
      </c>
      <c r="D128" s="171">
        <v>0.83493055555300089</v>
      </c>
      <c r="E128" s="163" t="s">
        <v>28</v>
      </c>
      <c r="F128" s="44" t="s">
        <v>861</v>
      </c>
    </row>
    <row r="129" spans="2:6" x14ac:dyDescent="0.45">
      <c r="B129" s="161">
        <v>667</v>
      </c>
      <c r="C129" s="38">
        <v>44063</v>
      </c>
      <c r="D129" s="171">
        <v>0.84353009259211831</v>
      </c>
      <c r="E129" s="163" t="s">
        <v>28</v>
      </c>
      <c r="F129" s="44" t="s">
        <v>860</v>
      </c>
    </row>
    <row r="130" spans="2:6" x14ac:dyDescent="0.45">
      <c r="B130" s="161">
        <v>666</v>
      </c>
      <c r="C130" s="38">
        <v>44063</v>
      </c>
      <c r="D130" s="171">
        <v>0.54652777777664596</v>
      </c>
      <c r="E130" s="163" t="s">
        <v>28</v>
      </c>
      <c r="F130" s="44" t="s">
        <v>859</v>
      </c>
    </row>
    <row r="131" spans="2:6" x14ac:dyDescent="0.45">
      <c r="B131" s="161">
        <v>665</v>
      </c>
      <c r="C131" s="38">
        <v>44060</v>
      </c>
      <c r="D131" s="171">
        <v>0.74290509259299142</v>
      </c>
      <c r="E131" s="163" t="s">
        <v>28</v>
      </c>
      <c r="F131" s="39" t="s">
        <v>858</v>
      </c>
    </row>
    <row r="132" spans="2:6" x14ac:dyDescent="0.45">
      <c r="B132" s="161">
        <v>664</v>
      </c>
      <c r="C132" s="38">
        <v>44060</v>
      </c>
      <c r="D132" s="171">
        <v>0.72209490741079208</v>
      </c>
      <c r="E132" s="163" t="s">
        <v>28</v>
      </c>
      <c r="F132" s="39" t="s">
        <v>857</v>
      </c>
    </row>
    <row r="133" spans="2:6" ht="28.5" x14ac:dyDescent="0.45">
      <c r="B133" s="161">
        <v>663</v>
      </c>
      <c r="C133" s="38">
        <v>44060</v>
      </c>
      <c r="D133" s="171">
        <v>0.70407407407765277</v>
      </c>
      <c r="E133" s="163" t="s">
        <v>28</v>
      </c>
      <c r="F133" s="39" t="s">
        <v>856</v>
      </c>
    </row>
    <row r="134" spans="2:6" x14ac:dyDescent="0.45">
      <c r="B134" s="161">
        <v>662</v>
      </c>
      <c r="C134" s="38">
        <v>43894</v>
      </c>
      <c r="D134" s="171">
        <v>0.50756944444583496</v>
      </c>
      <c r="E134" s="163" t="s">
        <v>28</v>
      </c>
      <c r="F134" s="39" t="s">
        <v>855</v>
      </c>
    </row>
    <row r="135" spans="2:6" x14ac:dyDescent="0.45">
      <c r="B135" s="161">
        <v>661</v>
      </c>
      <c r="C135" s="38">
        <v>43893</v>
      </c>
      <c r="D135" s="171">
        <v>0.411516203705105</v>
      </c>
      <c r="E135" s="163" t="s">
        <v>28</v>
      </c>
      <c r="F135" s="39" t="s">
        <v>854</v>
      </c>
    </row>
    <row r="136" spans="2:6" x14ac:dyDescent="0.45">
      <c r="B136" s="161">
        <v>660</v>
      </c>
      <c r="C136" s="38">
        <v>43868</v>
      </c>
      <c r="D136" s="171">
        <v>0.61784722222364508</v>
      </c>
      <c r="E136" s="163" t="s">
        <v>28</v>
      </c>
      <c r="F136" s="39" t="s">
        <v>853</v>
      </c>
    </row>
    <row r="137" spans="2:6" x14ac:dyDescent="0.45">
      <c r="B137" s="161">
        <v>659</v>
      </c>
      <c r="C137" s="38">
        <v>43868</v>
      </c>
      <c r="D137" s="171">
        <v>0.5897222222192795</v>
      </c>
      <c r="E137" s="163" t="s">
        <v>28</v>
      </c>
      <c r="F137" s="44" t="s">
        <v>852</v>
      </c>
    </row>
    <row r="138" spans="2:6" x14ac:dyDescent="0.45">
      <c r="B138" s="161">
        <v>658</v>
      </c>
      <c r="C138" s="38">
        <v>43852</v>
      </c>
      <c r="D138" s="171">
        <v>0.46138888888526708</v>
      </c>
      <c r="E138" s="163" t="s">
        <v>28</v>
      </c>
      <c r="F138" s="39" t="s">
        <v>851</v>
      </c>
    </row>
    <row r="139" spans="2:6" x14ac:dyDescent="0.45">
      <c r="B139" s="161">
        <v>657</v>
      </c>
      <c r="C139" s="38">
        <v>43852</v>
      </c>
      <c r="D139" s="171">
        <v>0.45684027778042946</v>
      </c>
      <c r="E139" s="163" t="s">
        <v>28</v>
      </c>
      <c r="F139" s="39" t="s">
        <v>849</v>
      </c>
    </row>
    <row r="140" spans="2:6" x14ac:dyDescent="0.45">
      <c r="B140" s="161">
        <v>656</v>
      </c>
      <c r="C140" s="38">
        <v>43783</v>
      </c>
      <c r="D140" s="171">
        <v>0.55010416666482342</v>
      </c>
      <c r="E140" s="163" t="s">
        <v>28</v>
      </c>
      <c r="F140" s="44" t="s">
        <v>848</v>
      </c>
    </row>
    <row r="141" spans="2:6" x14ac:dyDescent="0.45">
      <c r="B141" s="161">
        <v>655</v>
      </c>
      <c r="C141" s="38">
        <v>43783</v>
      </c>
      <c r="D141" s="171">
        <v>0.46708333333663177</v>
      </c>
      <c r="E141" s="163" t="s">
        <v>28</v>
      </c>
      <c r="F141" s="39" t="s">
        <v>847</v>
      </c>
    </row>
    <row r="142" spans="2:6" x14ac:dyDescent="0.45">
      <c r="B142" s="161">
        <v>654</v>
      </c>
      <c r="C142" s="38">
        <v>43783</v>
      </c>
      <c r="D142" s="171">
        <v>0.43456018518190831</v>
      </c>
      <c r="E142" s="163" t="s">
        <v>28</v>
      </c>
      <c r="F142" s="39" t="s">
        <v>846</v>
      </c>
    </row>
    <row r="143" spans="2:6" x14ac:dyDescent="0.45">
      <c r="B143" s="161">
        <v>653</v>
      </c>
      <c r="C143" s="38">
        <v>43773</v>
      </c>
      <c r="D143" s="171">
        <v>0.76493055555329192</v>
      </c>
      <c r="E143" s="163" t="s">
        <v>28</v>
      </c>
      <c r="F143" s="39" t="s">
        <v>845</v>
      </c>
    </row>
    <row r="144" spans="2:6" x14ac:dyDescent="0.45">
      <c r="B144" s="161">
        <v>652</v>
      </c>
      <c r="C144" s="38">
        <v>43773</v>
      </c>
      <c r="D144" s="171">
        <v>0.49593750000349246</v>
      </c>
      <c r="E144" s="163" t="s">
        <v>28</v>
      </c>
      <c r="F144" s="39" t="s">
        <v>844</v>
      </c>
    </row>
    <row r="145" spans="2:6" x14ac:dyDescent="0.45">
      <c r="B145" s="161">
        <v>651</v>
      </c>
      <c r="C145" s="38">
        <v>43756</v>
      </c>
      <c r="D145" s="171">
        <v>0.55453703703824431</v>
      </c>
      <c r="E145" s="163" t="s">
        <v>28</v>
      </c>
      <c r="F145" s="39" t="s">
        <v>841</v>
      </c>
    </row>
    <row r="146" spans="2:6" x14ac:dyDescent="0.45">
      <c r="B146" s="161">
        <v>650</v>
      </c>
      <c r="C146" s="38">
        <v>43756</v>
      </c>
      <c r="D146" s="171">
        <v>0.474016203705105</v>
      </c>
      <c r="E146" s="163" t="s">
        <v>28</v>
      </c>
      <c r="F146" s="39" t="s">
        <v>840</v>
      </c>
    </row>
    <row r="147" spans="2:6" x14ac:dyDescent="0.45">
      <c r="B147" s="161">
        <v>649</v>
      </c>
      <c r="C147" s="38">
        <v>43662</v>
      </c>
      <c r="D147" s="171">
        <v>0.38129629629838746</v>
      </c>
      <c r="E147" s="163" t="s">
        <v>28</v>
      </c>
      <c r="F147" s="39" t="s">
        <v>839</v>
      </c>
    </row>
    <row r="148" spans="2:6" x14ac:dyDescent="0.45">
      <c r="B148" s="161">
        <v>648</v>
      </c>
      <c r="C148" s="38">
        <v>43599</v>
      </c>
      <c r="D148" s="171">
        <v>0.45290509259211831</v>
      </c>
      <c r="E148" s="163" t="s">
        <v>28</v>
      </c>
      <c r="F148" s="44" t="s">
        <v>838</v>
      </c>
    </row>
    <row r="149" spans="2:6" x14ac:dyDescent="0.45">
      <c r="B149" s="161">
        <v>647</v>
      </c>
      <c r="C149" s="38">
        <v>43595</v>
      </c>
      <c r="D149" s="171">
        <v>0.66174768518249039</v>
      </c>
      <c r="E149" s="163" t="s">
        <v>28</v>
      </c>
      <c r="F149" s="44" t="s">
        <v>837</v>
      </c>
    </row>
    <row r="150" spans="2:6" x14ac:dyDescent="0.45">
      <c r="B150" s="161">
        <v>646</v>
      </c>
      <c r="C150" s="38">
        <v>43595</v>
      </c>
      <c r="D150" s="171">
        <v>0.58526620370685123</v>
      </c>
      <c r="E150" s="163" t="s">
        <v>28</v>
      </c>
      <c r="F150" s="39" t="s">
        <v>836</v>
      </c>
    </row>
    <row r="151" spans="2:6" x14ac:dyDescent="0.45">
      <c r="B151" s="161">
        <v>645</v>
      </c>
      <c r="C151" s="38">
        <v>43509</v>
      </c>
      <c r="D151" s="171">
        <v>0.38734953703533392</v>
      </c>
      <c r="E151" s="163" t="s">
        <v>28</v>
      </c>
      <c r="F151" s="39" t="s">
        <v>835</v>
      </c>
    </row>
    <row r="152" spans="2:6" x14ac:dyDescent="0.45">
      <c r="B152" s="161">
        <v>644</v>
      </c>
      <c r="C152" s="38">
        <v>43503</v>
      </c>
      <c r="D152" s="171">
        <v>0.62339120370597811</v>
      </c>
      <c r="E152" s="163" t="s">
        <v>28</v>
      </c>
      <c r="F152" s="39" t="s">
        <v>834</v>
      </c>
    </row>
    <row r="153" spans="2:6" x14ac:dyDescent="0.45">
      <c r="B153" s="161">
        <v>643</v>
      </c>
      <c r="C153" s="38">
        <v>43503</v>
      </c>
      <c r="D153" s="171">
        <v>0.50572916666715173</v>
      </c>
      <c r="E153" s="163" t="s">
        <v>28</v>
      </c>
      <c r="F153" s="39" t="s">
        <v>833</v>
      </c>
    </row>
    <row r="154" spans="2:6" x14ac:dyDescent="0.45">
      <c r="B154" s="161">
        <v>642</v>
      </c>
      <c r="C154" s="38">
        <v>43503</v>
      </c>
      <c r="D154" s="171">
        <v>0.49297453703911742</v>
      </c>
      <c r="E154" s="163" t="s">
        <v>28</v>
      </c>
      <c r="F154" s="44" t="s">
        <v>832</v>
      </c>
    </row>
    <row r="155" spans="2:6" x14ac:dyDescent="0.45">
      <c r="B155" s="161">
        <v>641</v>
      </c>
      <c r="C155" s="38">
        <v>43502</v>
      </c>
      <c r="D155" s="171">
        <v>0.57275462963298196</v>
      </c>
      <c r="E155" s="163" t="s">
        <v>28</v>
      </c>
      <c r="F155" s="44" t="s">
        <v>831</v>
      </c>
    </row>
    <row r="156" spans="2:6" x14ac:dyDescent="0.45">
      <c r="B156" s="161">
        <v>640</v>
      </c>
      <c r="C156" s="38">
        <v>43502</v>
      </c>
      <c r="D156" s="171">
        <v>0.54368055555823958</v>
      </c>
      <c r="E156" s="163" t="s">
        <v>28</v>
      </c>
      <c r="F156" s="44" t="s">
        <v>830</v>
      </c>
    </row>
    <row r="157" spans="2:6" x14ac:dyDescent="0.45">
      <c r="B157" s="161">
        <v>639</v>
      </c>
      <c r="C157" s="38">
        <v>43501</v>
      </c>
      <c r="D157" s="171">
        <v>0.73211805555911269</v>
      </c>
      <c r="E157" s="163" t="s">
        <v>28</v>
      </c>
      <c r="F157" s="39" t="s">
        <v>829</v>
      </c>
    </row>
    <row r="158" spans="2:6" x14ac:dyDescent="0.45">
      <c r="B158" s="161">
        <v>638</v>
      </c>
      <c r="C158" s="38">
        <v>43501</v>
      </c>
      <c r="D158" s="171">
        <v>0.54379629629693227</v>
      </c>
      <c r="E158" s="163" t="s">
        <v>28</v>
      </c>
      <c r="F158" s="39" t="s">
        <v>828</v>
      </c>
    </row>
    <row r="159" spans="2:6" x14ac:dyDescent="0.45">
      <c r="B159" s="161">
        <v>637</v>
      </c>
      <c r="C159" s="38">
        <v>43500</v>
      </c>
      <c r="D159" s="171">
        <v>0.73989583333604969</v>
      </c>
      <c r="E159" s="163" t="s">
        <v>28</v>
      </c>
      <c r="F159" s="39" t="s">
        <v>827</v>
      </c>
    </row>
    <row r="160" spans="2:6" x14ac:dyDescent="0.45">
      <c r="B160" s="161">
        <v>636</v>
      </c>
      <c r="C160" s="38">
        <v>43497</v>
      </c>
      <c r="D160" s="171">
        <v>0.65592592592292931</v>
      </c>
      <c r="E160" s="163" t="s">
        <v>28</v>
      </c>
      <c r="F160" s="39" t="s">
        <v>826</v>
      </c>
    </row>
    <row r="161" spans="2:6" x14ac:dyDescent="0.45">
      <c r="B161" s="161">
        <v>635</v>
      </c>
      <c r="C161" s="38">
        <v>43496</v>
      </c>
      <c r="D161" s="171">
        <v>0.51072916666453239</v>
      </c>
      <c r="E161" s="163" t="s">
        <v>28</v>
      </c>
      <c r="F161" s="39" t="s">
        <v>825</v>
      </c>
    </row>
    <row r="162" spans="2:6" x14ac:dyDescent="0.45">
      <c r="B162" s="161">
        <v>634</v>
      </c>
      <c r="C162" s="38">
        <v>43496</v>
      </c>
      <c r="D162" s="171">
        <v>0.47952546296437504</v>
      </c>
      <c r="E162" s="163" t="s">
        <v>28</v>
      </c>
      <c r="F162" s="39" t="s">
        <v>824</v>
      </c>
    </row>
    <row r="163" spans="2:6" x14ac:dyDescent="0.45">
      <c r="B163" s="161">
        <v>633</v>
      </c>
      <c r="C163" s="38">
        <v>43495</v>
      </c>
      <c r="D163" s="171">
        <v>0.68781250000029104</v>
      </c>
      <c r="E163" s="163" t="s">
        <v>28</v>
      </c>
      <c r="F163" s="44" t="s">
        <v>823</v>
      </c>
    </row>
    <row r="164" spans="2:6" x14ac:dyDescent="0.45">
      <c r="B164" s="161">
        <v>632</v>
      </c>
      <c r="C164" s="38">
        <v>43495</v>
      </c>
      <c r="D164" s="171">
        <v>0.6785185185217415</v>
      </c>
      <c r="E164" s="163" t="s">
        <v>28</v>
      </c>
      <c r="F164" s="39" t="s">
        <v>822</v>
      </c>
    </row>
    <row r="165" spans="2:6" x14ac:dyDescent="0.45">
      <c r="B165" s="161">
        <v>631</v>
      </c>
      <c r="C165" s="38">
        <v>43495</v>
      </c>
      <c r="D165" s="171">
        <v>0.64531249999708962</v>
      </c>
      <c r="E165" s="163" t="s">
        <v>28</v>
      </c>
      <c r="F165" s="39" t="s">
        <v>821</v>
      </c>
    </row>
    <row r="166" spans="2:6" x14ac:dyDescent="0.45">
      <c r="B166" s="161">
        <v>630</v>
      </c>
      <c r="C166" s="38">
        <v>43483</v>
      </c>
      <c r="D166" s="171">
        <v>0.46375000000261934</v>
      </c>
      <c r="E166" s="163" t="s">
        <v>28</v>
      </c>
      <c r="F166" s="39" t="s">
        <v>820</v>
      </c>
    </row>
    <row r="167" spans="2:6" x14ac:dyDescent="0.45">
      <c r="B167" s="161">
        <v>629</v>
      </c>
      <c r="C167" s="38">
        <v>43482</v>
      </c>
      <c r="D167" s="171">
        <v>0.75628472222160781</v>
      </c>
      <c r="E167" s="163" t="s">
        <v>28</v>
      </c>
      <c r="F167" s="39" t="s">
        <v>798</v>
      </c>
    </row>
    <row r="168" spans="2:6" x14ac:dyDescent="0.45">
      <c r="B168" s="161">
        <v>628</v>
      </c>
      <c r="C168" s="38">
        <v>43482</v>
      </c>
      <c r="D168" s="171">
        <v>0.73486111110833008</v>
      </c>
      <c r="E168" s="163" t="s">
        <v>28</v>
      </c>
      <c r="F168" s="39" t="s">
        <v>819</v>
      </c>
    </row>
    <row r="169" spans="2:6" x14ac:dyDescent="0.45">
      <c r="B169" s="161">
        <v>627</v>
      </c>
      <c r="C169" s="38">
        <v>43482</v>
      </c>
      <c r="D169" s="171">
        <v>0.66587962963239988</v>
      </c>
      <c r="E169" s="163" t="s">
        <v>28</v>
      </c>
      <c r="F169" s="39" t="s">
        <v>818</v>
      </c>
    </row>
    <row r="170" spans="2:6" x14ac:dyDescent="0.45">
      <c r="B170" s="161">
        <v>626</v>
      </c>
      <c r="C170" s="38">
        <v>43482</v>
      </c>
      <c r="D170" s="171">
        <v>0.59785879629635019</v>
      </c>
      <c r="E170" s="163" t="s">
        <v>28</v>
      </c>
      <c r="F170" s="39" t="s">
        <v>817</v>
      </c>
    </row>
    <row r="171" spans="2:6" x14ac:dyDescent="0.45">
      <c r="B171" s="161">
        <v>625</v>
      </c>
      <c r="C171" s="38">
        <v>43481</v>
      </c>
      <c r="D171" s="171">
        <v>0.76425925926014315</v>
      </c>
      <c r="E171" s="163" t="s">
        <v>28</v>
      </c>
      <c r="F171" s="39" t="s">
        <v>815</v>
      </c>
    </row>
    <row r="172" spans="2:6" x14ac:dyDescent="0.45">
      <c r="B172" s="161">
        <v>624</v>
      </c>
      <c r="C172" s="38">
        <v>43480</v>
      </c>
      <c r="D172" s="171">
        <v>0.71263888888643123</v>
      </c>
      <c r="E172" s="163" t="s">
        <v>28</v>
      </c>
      <c r="F172" s="39" t="s">
        <v>795</v>
      </c>
    </row>
    <row r="173" spans="2:6" x14ac:dyDescent="0.45">
      <c r="B173" s="161">
        <v>623</v>
      </c>
      <c r="C173" s="38">
        <v>43480</v>
      </c>
      <c r="D173" s="171">
        <v>0.711041666669189</v>
      </c>
      <c r="E173" s="163" t="s">
        <v>28</v>
      </c>
      <c r="F173" s="39" t="s">
        <v>813</v>
      </c>
    </row>
    <row r="174" spans="2:6" x14ac:dyDescent="0.45">
      <c r="B174" s="161">
        <v>622</v>
      </c>
      <c r="C174" s="38">
        <v>43480</v>
      </c>
      <c r="D174" s="171">
        <v>0.67712962962832535</v>
      </c>
      <c r="E174" s="163" t="s">
        <v>28</v>
      </c>
      <c r="F174" s="39" t="s">
        <v>812</v>
      </c>
    </row>
    <row r="175" spans="2:6" x14ac:dyDescent="0.45">
      <c r="B175" s="161">
        <v>621</v>
      </c>
      <c r="C175" s="38">
        <v>43480</v>
      </c>
      <c r="D175" s="171">
        <v>0.52458333333197515</v>
      </c>
      <c r="E175" s="163" t="s">
        <v>28</v>
      </c>
      <c r="F175" s="39" t="s">
        <v>811</v>
      </c>
    </row>
    <row r="176" spans="2:6" x14ac:dyDescent="0.45">
      <c r="B176" s="161">
        <v>620</v>
      </c>
      <c r="C176" s="38">
        <v>43476</v>
      </c>
      <c r="D176" s="171">
        <v>0.66093749999708962</v>
      </c>
      <c r="E176" s="163" t="s">
        <v>28</v>
      </c>
      <c r="F176" s="39" t="s">
        <v>804</v>
      </c>
    </row>
    <row r="177" spans="2:6" x14ac:dyDescent="0.45">
      <c r="B177" s="161">
        <v>619</v>
      </c>
      <c r="C177" s="38">
        <v>43475</v>
      </c>
      <c r="D177" s="171">
        <v>0.62922453703504289</v>
      </c>
      <c r="E177" s="163" t="s">
        <v>28</v>
      </c>
      <c r="F177" s="39" t="s">
        <v>772</v>
      </c>
    </row>
    <row r="178" spans="2:6" x14ac:dyDescent="0.45">
      <c r="B178" s="161">
        <v>618</v>
      </c>
      <c r="C178" s="38">
        <v>43475</v>
      </c>
      <c r="D178" s="171">
        <v>0.45554398147942265</v>
      </c>
      <c r="E178" s="163" t="s">
        <v>28</v>
      </c>
      <c r="F178" s="39" t="s">
        <v>803</v>
      </c>
    </row>
    <row r="179" spans="2:6" x14ac:dyDescent="0.45">
      <c r="B179" s="161">
        <v>617</v>
      </c>
      <c r="C179" s="38">
        <v>43468</v>
      </c>
      <c r="D179" s="171">
        <v>0.65378472222073469</v>
      </c>
      <c r="E179" s="163" t="s">
        <v>28</v>
      </c>
      <c r="F179" s="39" t="s">
        <v>741</v>
      </c>
    </row>
    <row r="180" spans="2:6" x14ac:dyDescent="0.45">
      <c r="B180" s="161">
        <v>616</v>
      </c>
      <c r="C180" s="38">
        <v>43468</v>
      </c>
      <c r="D180" s="171">
        <v>0.62974537037371192</v>
      </c>
      <c r="E180" s="163" t="s">
        <v>28</v>
      </c>
      <c r="F180" s="39" t="s">
        <v>802</v>
      </c>
    </row>
    <row r="181" spans="2:6" x14ac:dyDescent="0.45">
      <c r="B181" s="161">
        <v>615</v>
      </c>
      <c r="C181" s="38">
        <v>43468</v>
      </c>
      <c r="D181" s="171">
        <v>0.5273958333345945</v>
      </c>
      <c r="E181" s="163" t="s">
        <v>28</v>
      </c>
      <c r="F181" s="39" t="s">
        <v>801</v>
      </c>
    </row>
    <row r="182" spans="2:6" x14ac:dyDescent="0.45">
      <c r="B182" s="161">
        <v>614</v>
      </c>
      <c r="C182" s="38">
        <v>43468</v>
      </c>
      <c r="D182" s="171">
        <v>0.47115740740991896</v>
      </c>
      <c r="E182" s="163" t="s">
        <v>28</v>
      </c>
      <c r="F182" s="39" t="s">
        <v>799</v>
      </c>
    </row>
    <row r="183" spans="2:6" x14ac:dyDescent="0.45">
      <c r="B183" s="161">
        <v>613</v>
      </c>
      <c r="C183" s="38">
        <v>43454</v>
      </c>
      <c r="D183" s="171">
        <v>0.62598379629343981</v>
      </c>
      <c r="E183" s="163" t="s">
        <v>28</v>
      </c>
      <c r="F183" s="39" t="s">
        <v>799</v>
      </c>
    </row>
    <row r="184" spans="2:6" x14ac:dyDescent="0.45">
      <c r="B184" s="161">
        <v>612</v>
      </c>
      <c r="C184" s="38">
        <v>43454</v>
      </c>
      <c r="D184" s="171">
        <v>0.55307870370597811</v>
      </c>
      <c r="E184" s="163" t="s">
        <v>28</v>
      </c>
      <c r="F184" s="39" t="s">
        <v>799</v>
      </c>
    </row>
    <row r="185" spans="2:6" x14ac:dyDescent="0.45">
      <c r="B185" s="161">
        <v>611</v>
      </c>
      <c r="C185" s="38">
        <v>43454</v>
      </c>
      <c r="D185" s="171">
        <v>0.36655092592263827</v>
      </c>
      <c r="E185" s="163" t="s">
        <v>28</v>
      </c>
      <c r="F185" s="39" t="s">
        <v>800</v>
      </c>
    </row>
    <row r="186" spans="2:6" x14ac:dyDescent="0.45">
      <c r="B186" s="161">
        <v>610</v>
      </c>
      <c r="C186" s="38">
        <v>43453</v>
      </c>
      <c r="D186" s="171">
        <v>0.73515046296233777</v>
      </c>
      <c r="E186" s="163" t="s">
        <v>28</v>
      </c>
      <c r="F186" s="39" t="s">
        <v>799</v>
      </c>
    </row>
    <row r="187" spans="2:6" x14ac:dyDescent="0.45">
      <c r="B187" s="161">
        <v>609</v>
      </c>
      <c r="C187" s="38">
        <v>43453</v>
      </c>
      <c r="D187" s="171">
        <v>0.67013888889050577</v>
      </c>
      <c r="E187" s="163" t="s">
        <v>28</v>
      </c>
      <c r="F187" s="39" t="s">
        <v>798</v>
      </c>
    </row>
    <row r="188" spans="2:6" x14ac:dyDescent="0.45">
      <c r="B188" s="161">
        <v>608</v>
      </c>
      <c r="C188" s="38">
        <v>43453</v>
      </c>
      <c r="D188" s="171">
        <v>0.50578703703649808</v>
      </c>
      <c r="E188" s="163" t="s">
        <v>28</v>
      </c>
      <c r="F188" s="44" t="s">
        <v>797</v>
      </c>
    </row>
    <row r="189" spans="2:6" x14ac:dyDescent="0.45">
      <c r="B189" s="161">
        <v>607</v>
      </c>
      <c r="C189" s="38">
        <v>43448</v>
      </c>
      <c r="D189" s="171">
        <v>0.64615740740555339</v>
      </c>
      <c r="E189" s="163" t="s">
        <v>28</v>
      </c>
      <c r="F189" s="39" t="s">
        <v>796</v>
      </c>
    </row>
    <row r="190" spans="2:6" x14ac:dyDescent="0.45">
      <c r="B190" s="161">
        <v>606</v>
      </c>
      <c r="C190" s="38">
        <v>43447</v>
      </c>
      <c r="D190" s="171">
        <v>0.72343749999708962</v>
      </c>
      <c r="E190" s="163" t="s">
        <v>28</v>
      </c>
      <c r="F190" s="39" t="s">
        <v>795</v>
      </c>
    </row>
    <row r="191" spans="2:6" x14ac:dyDescent="0.45">
      <c r="B191" s="161">
        <v>605</v>
      </c>
      <c r="C191" s="38">
        <v>43447</v>
      </c>
      <c r="D191" s="171">
        <v>0.71456018518802011</v>
      </c>
      <c r="E191" s="163" t="s">
        <v>28</v>
      </c>
      <c r="F191" s="44" t="s">
        <v>794</v>
      </c>
    </row>
    <row r="192" spans="2:6" x14ac:dyDescent="0.45">
      <c r="B192" s="161">
        <v>604</v>
      </c>
      <c r="C192" s="38">
        <v>43447</v>
      </c>
      <c r="D192" s="171">
        <v>0.70280092592292931</v>
      </c>
      <c r="E192" s="163" t="s">
        <v>28</v>
      </c>
      <c r="F192" s="39" t="s">
        <v>793</v>
      </c>
    </row>
    <row r="193" spans="2:6" x14ac:dyDescent="0.45">
      <c r="B193" s="161">
        <v>603</v>
      </c>
      <c r="C193" s="38">
        <v>43447</v>
      </c>
      <c r="D193" s="171">
        <v>0.42537037037254777</v>
      </c>
      <c r="E193" s="163" t="s">
        <v>28</v>
      </c>
      <c r="F193" s="39" t="s">
        <v>792</v>
      </c>
    </row>
    <row r="194" spans="2:6" x14ac:dyDescent="0.45">
      <c r="B194" s="161">
        <v>602</v>
      </c>
      <c r="C194" s="38">
        <v>43446</v>
      </c>
      <c r="D194" s="171">
        <v>0.77384259259270038</v>
      </c>
      <c r="E194" s="163" t="s">
        <v>28</v>
      </c>
      <c r="F194" s="39" t="s">
        <v>791</v>
      </c>
    </row>
    <row r="195" spans="2:6" x14ac:dyDescent="0.45">
      <c r="B195" s="161">
        <v>601</v>
      </c>
      <c r="C195" s="38">
        <v>43446</v>
      </c>
      <c r="D195" s="171">
        <v>0.70343750000029104</v>
      </c>
      <c r="E195" s="163" t="s">
        <v>28</v>
      </c>
      <c r="F195" s="39" t="s">
        <v>790</v>
      </c>
    </row>
    <row r="196" spans="2:6" x14ac:dyDescent="0.45">
      <c r="B196" s="161">
        <v>600</v>
      </c>
      <c r="C196" s="38">
        <v>43446</v>
      </c>
      <c r="D196" s="171">
        <v>0.70067129629751435</v>
      </c>
      <c r="E196" s="163" t="s">
        <v>28</v>
      </c>
      <c r="F196" s="39" t="s">
        <v>789</v>
      </c>
    </row>
    <row r="197" spans="2:6" x14ac:dyDescent="0.45">
      <c r="B197" s="161">
        <v>599</v>
      </c>
      <c r="C197" s="38">
        <v>43446</v>
      </c>
      <c r="D197" s="171">
        <v>0.67702546296641231</v>
      </c>
      <c r="E197" s="163" t="s">
        <v>28</v>
      </c>
      <c r="F197" s="39" t="s">
        <v>788</v>
      </c>
    </row>
    <row r="198" spans="2:6" x14ac:dyDescent="0.45">
      <c r="B198" s="161">
        <v>598</v>
      </c>
      <c r="C198" s="38">
        <v>43445</v>
      </c>
      <c r="D198" s="171">
        <v>0.75079861110862112</v>
      </c>
      <c r="E198" s="163" t="s">
        <v>28</v>
      </c>
      <c r="F198" s="44" t="s">
        <v>787</v>
      </c>
    </row>
    <row r="199" spans="2:6" x14ac:dyDescent="0.45">
      <c r="B199" s="161">
        <v>597</v>
      </c>
      <c r="C199" s="38">
        <v>43444</v>
      </c>
      <c r="D199" s="171">
        <v>0.38317129629285773</v>
      </c>
      <c r="E199" s="163" t="s">
        <v>28</v>
      </c>
      <c r="F199" s="44" t="s">
        <v>785</v>
      </c>
    </row>
    <row r="200" spans="2:6" x14ac:dyDescent="0.45">
      <c r="B200" s="161">
        <v>596</v>
      </c>
      <c r="C200" s="38">
        <v>43438</v>
      </c>
      <c r="D200" s="171">
        <v>0.60476851851854008</v>
      </c>
      <c r="E200" s="163" t="s">
        <v>28</v>
      </c>
      <c r="F200" s="39" t="s">
        <v>784</v>
      </c>
    </row>
    <row r="201" spans="2:6" x14ac:dyDescent="0.45">
      <c r="B201" s="161">
        <v>595</v>
      </c>
      <c r="C201" s="38">
        <v>43437</v>
      </c>
      <c r="D201" s="171">
        <v>0.66233796296000946</v>
      </c>
      <c r="E201" s="163" t="s">
        <v>28</v>
      </c>
      <c r="F201" s="44" t="s">
        <v>786</v>
      </c>
    </row>
    <row r="202" spans="2:6" x14ac:dyDescent="0.45">
      <c r="B202" s="161">
        <v>594</v>
      </c>
      <c r="C202" s="38">
        <v>43434</v>
      </c>
      <c r="D202" s="171">
        <v>0.60096064814570127</v>
      </c>
      <c r="E202" s="163" t="s">
        <v>28</v>
      </c>
      <c r="F202" s="39" t="s">
        <v>783</v>
      </c>
    </row>
    <row r="203" spans="2:6" x14ac:dyDescent="0.45">
      <c r="B203" s="161">
        <v>593</v>
      </c>
      <c r="C203" s="38">
        <v>43433</v>
      </c>
      <c r="D203" s="171">
        <v>0.60181712963094469</v>
      </c>
      <c r="E203" s="163" t="s">
        <v>28</v>
      </c>
      <c r="F203" s="39" t="s">
        <v>782</v>
      </c>
    </row>
    <row r="204" spans="2:6" x14ac:dyDescent="0.45">
      <c r="B204" s="161">
        <v>592</v>
      </c>
      <c r="C204" s="38">
        <v>43388</v>
      </c>
      <c r="D204" s="171">
        <v>0.66062499999679858</v>
      </c>
      <c r="E204" s="163" t="s">
        <v>28</v>
      </c>
      <c r="F204" s="39" t="s">
        <v>781</v>
      </c>
    </row>
    <row r="205" spans="2:6" x14ac:dyDescent="0.45">
      <c r="B205" s="161">
        <v>591</v>
      </c>
      <c r="C205" s="38">
        <v>43388</v>
      </c>
      <c r="D205" s="171">
        <v>0.61728009259240935</v>
      </c>
      <c r="E205" s="163" t="s">
        <v>28</v>
      </c>
      <c r="F205" s="39" t="s">
        <v>780</v>
      </c>
    </row>
    <row r="206" spans="2:6" x14ac:dyDescent="0.45">
      <c r="B206" s="161">
        <v>590</v>
      </c>
      <c r="C206" s="38">
        <v>43388</v>
      </c>
      <c r="D206" s="171">
        <v>0.60428240741021</v>
      </c>
      <c r="E206" s="163" t="s">
        <v>28</v>
      </c>
      <c r="F206" s="39" t="s">
        <v>779</v>
      </c>
    </row>
    <row r="207" spans="2:6" x14ac:dyDescent="0.45">
      <c r="B207" s="37">
        <v>589</v>
      </c>
      <c r="C207" s="38">
        <v>43378</v>
      </c>
      <c r="D207" s="171">
        <v>0.45184027777577285</v>
      </c>
      <c r="E207" s="163" t="s">
        <v>28</v>
      </c>
      <c r="F207" s="39" t="s">
        <v>778</v>
      </c>
    </row>
    <row r="208" spans="2:6" x14ac:dyDescent="0.45">
      <c r="B208" s="37">
        <v>588</v>
      </c>
      <c r="C208" s="38">
        <v>43378</v>
      </c>
      <c r="D208" s="171">
        <v>0.41446759259270038</v>
      </c>
      <c r="E208" s="163" t="s">
        <v>28</v>
      </c>
      <c r="F208" s="39" t="s">
        <v>777</v>
      </c>
    </row>
    <row r="209" spans="2:6" x14ac:dyDescent="0.45">
      <c r="B209" s="37">
        <v>587</v>
      </c>
      <c r="C209" s="38">
        <v>43377</v>
      </c>
      <c r="D209" s="171">
        <v>0.58003472222480923</v>
      </c>
      <c r="E209" s="163" t="s">
        <v>28</v>
      </c>
      <c r="F209" s="39" t="s">
        <v>776</v>
      </c>
    </row>
    <row r="210" spans="2:6" x14ac:dyDescent="0.45">
      <c r="B210" s="37">
        <v>586</v>
      </c>
      <c r="C210" s="38">
        <v>43377</v>
      </c>
      <c r="D210" s="171">
        <v>0.51350694444408873</v>
      </c>
      <c r="E210" s="163" t="s">
        <v>28</v>
      </c>
      <c r="F210" s="39" t="s">
        <v>775</v>
      </c>
    </row>
    <row r="211" spans="2:6" x14ac:dyDescent="0.45">
      <c r="B211" s="37">
        <v>585</v>
      </c>
      <c r="C211" s="38">
        <v>43377</v>
      </c>
      <c r="D211" s="171">
        <v>0.50515046296641231</v>
      </c>
      <c r="E211" s="163" t="s">
        <v>28</v>
      </c>
      <c r="F211" s="39" t="s">
        <v>775</v>
      </c>
    </row>
    <row r="212" spans="2:6" x14ac:dyDescent="0.45">
      <c r="B212" s="37">
        <v>584</v>
      </c>
      <c r="C212" s="38">
        <v>43350</v>
      </c>
      <c r="D212" s="171">
        <v>0.39464120370394085</v>
      </c>
      <c r="E212" s="163" t="s">
        <v>28</v>
      </c>
      <c r="F212" s="44" t="s">
        <v>774</v>
      </c>
    </row>
    <row r="213" spans="2:6" x14ac:dyDescent="0.45">
      <c r="B213" s="37">
        <v>583</v>
      </c>
      <c r="C213" s="38">
        <v>43294</v>
      </c>
      <c r="D213" s="171">
        <v>0.53469907407270512</v>
      </c>
      <c r="E213" s="163" t="s">
        <v>28</v>
      </c>
      <c r="F213" s="44" t="s">
        <v>773</v>
      </c>
    </row>
    <row r="214" spans="2:6" x14ac:dyDescent="0.45">
      <c r="B214" s="37">
        <v>582</v>
      </c>
      <c r="C214" s="38">
        <v>43273</v>
      </c>
      <c r="D214" s="171">
        <v>0.57578703703620704</v>
      </c>
      <c r="E214" s="163" t="s">
        <v>28</v>
      </c>
      <c r="F214" s="44" t="s">
        <v>772</v>
      </c>
    </row>
    <row r="215" spans="2:6" x14ac:dyDescent="0.45">
      <c r="B215" s="37">
        <v>581</v>
      </c>
      <c r="C215" s="38">
        <v>43235</v>
      </c>
      <c r="D215" s="171">
        <v>0.57599537036730908</v>
      </c>
      <c r="E215" s="163" t="s">
        <v>28</v>
      </c>
      <c r="F215" s="39" t="s">
        <v>771</v>
      </c>
    </row>
    <row r="216" spans="2:6" x14ac:dyDescent="0.45">
      <c r="B216" s="37">
        <v>580</v>
      </c>
      <c r="C216" s="38">
        <v>43235</v>
      </c>
      <c r="D216" s="171">
        <v>0.57333333333372138</v>
      </c>
      <c r="E216" s="163" t="s">
        <v>28</v>
      </c>
      <c r="F216" s="44" t="s">
        <v>770</v>
      </c>
    </row>
    <row r="217" spans="2:6" x14ac:dyDescent="0.45">
      <c r="B217" s="37">
        <v>579</v>
      </c>
      <c r="C217" s="38">
        <v>43231</v>
      </c>
      <c r="D217" s="171">
        <v>0.55736111111036735</v>
      </c>
      <c r="E217" s="163" t="s">
        <v>28</v>
      </c>
      <c r="F217" s="44" t="s">
        <v>769</v>
      </c>
    </row>
    <row r="218" spans="2:6" x14ac:dyDescent="0.45">
      <c r="B218" s="37">
        <v>578</v>
      </c>
      <c r="C218" s="38">
        <v>43224</v>
      </c>
      <c r="D218" s="171">
        <v>0.70233796296088258</v>
      </c>
      <c r="E218" s="163" t="s">
        <v>28</v>
      </c>
      <c r="F218" s="44" t="s">
        <v>768</v>
      </c>
    </row>
    <row r="219" spans="2:6" x14ac:dyDescent="0.45">
      <c r="B219" s="37">
        <v>577</v>
      </c>
      <c r="C219" s="38">
        <v>43223</v>
      </c>
      <c r="D219" s="171">
        <v>0.69721064814802958</v>
      </c>
      <c r="E219" s="163" t="s">
        <v>28</v>
      </c>
      <c r="F219" s="39" t="s">
        <v>767</v>
      </c>
    </row>
    <row r="220" spans="2:6" x14ac:dyDescent="0.45">
      <c r="B220" s="37">
        <v>576</v>
      </c>
      <c r="C220" s="38">
        <v>43179</v>
      </c>
      <c r="D220" s="171">
        <v>0.66858796296583023</v>
      </c>
      <c r="E220" s="163" t="s">
        <v>28</v>
      </c>
      <c r="F220" s="39" t="s">
        <v>766</v>
      </c>
    </row>
    <row r="221" spans="2:6" x14ac:dyDescent="0.45">
      <c r="B221" s="37">
        <v>575</v>
      </c>
      <c r="C221" s="38">
        <v>43178</v>
      </c>
      <c r="D221" s="171">
        <v>0.70410879629343981</v>
      </c>
      <c r="E221" s="163" t="s">
        <v>28</v>
      </c>
      <c r="F221" s="39" t="s">
        <v>765</v>
      </c>
    </row>
    <row r="222" spans="2:6" x14ac:dyDescent="0.45">
      <c r="B222" s="37">
        <v>574</v>
      </c>
      <c r="C222" s="38">
        <v>43178</v>
      </c>
      <c r="D222" s="171">
        <v>0.68511574074364034</v>
      </c>
      <c r="E222" s="163" t="s">
        <v>28</v>
      </c>
      <c r="F222" s="39" t="s">
        <v>764</v>
      </c>
    </row>
    <row r="223" spans="2:6" x14ac:dyDescent="0.45">
      <c r="B223" s="37">
        <v>573</v>
      </c>
      <c r="C223" s="38">
        <v>43175</v>
      </c>
      <c r="D223" s="171">
        <v>0.74553240741079208</v>
      </c>
      <c r="E223" s="163" t="s">
        <v>28</v>
      </c>
      <c r="F223" s="39" t="s">
        <v>763</v>
      </c>
    </row>
    <row r="224" spans="2:6" x14ac:dyDescent="0.45">
      <c r="B224" s="37">
        <v>572</v>
      </c>
      <c r="C224" s="38">
        <v>43175</v>
      </c>
      <c r="D224" s="171">
        <v>0.40385416666686069</v>
      </c>
      <c r="E224" s="163" t="s">
        <v>28</v>
      </c>
      <c r="F224" s="39" t="s">
        <v>762</v>
      </c>
    </row>
    <row r="225" spans="2:6" x14ac:dyDescent="0.45">
      <c r="B225" s="37">
        <v>571</v>
      </c>
      <c r="C225" s="38">
        <v>43167</v>
      </c>
      <c r="D225" s="171">
        <v>0.60932870370015735</v>
      </c>
      <c r="E225" s="163" t="s">
        <v>28</v>
      </c>
      <c r="F225" s="39" t="s">
        <v>761</v>
      </c>
    </row>
    <row r="226" spans="2:6" x14ac:dyDescent="0.45">
      <c r="B226" s="37">
        <v>570</v>
      </c>
      <c r="C226" s="38">
        <v>43167</v>
      </c>
      <c r="D226" s="171">
        <v>0.4178819444423425</v>
      </c>
      <c r="E226" s="163" t="s">
        <v>28</v>
      </c>
      <c r="F226" s="39" t="s">
        <v>726</v>
      </c>
    </row>
    <row r="227" spans="2:6" x14ac:dyDescent="0.45">
      <c r="B227" s="37">
        <v>569</v>
      </c>
      <c r="C227" s="38">
        <v>43166</v>
      </c>
      <c r="D227" s="171">
        <v>0.58362268518249039</v>
      </c>
      <c r="E227" s="163" t="s">
        <v>28</v>
      </c>
      <c r="F227" s="39" t="s">
        <v>760</v>
      </c>
    </row>
    <row r="228" spans="2:6" x14ac:dyDescent="0.45">
      <c r="B228" s="37">
        <v>568</v>
      </c>
      <c r="C228" s="38">
        <v>43166</v>
      </c>
      <c r="D228" s="171">
        <v>0.49510416666453239</v>
      </c>
      <c r="E228" s="163" t="s">
        <v>28</v>
      </c>
      <c r="F228" s="39" t="s">
        <v>759</v>
      </c>
    </row>
    <row r="229" spans="2:6" x14ac:dyDescent="0.45">
      <c r="B229" s="37">
        <v>567</v>
      </c>
      <c r="C229" s="38">
        <v>43164</v>
      </c>
      <c r="D229" s="171">
        <v>0.55973379629722331</v>
      </c>
      <c r="E229" s="163" t="s">
        <v>28</v>
      </c>
      <c r="F229" s="39" t="s">
        <v>672</v>
      </c>
    </row>
    <row r="230" spans="2:6" x14ac:dyDescent="0.45">
      <c r="B230" s="37">
        <v>566</v>
      </c>
      <c r="C230" s="38">
        <v>43164</v>
      </c>
      <c r="D230" s="171">
        <v>0.39347222222568234</v>
      </c>
      <c r="E230" s="163" t="s">
        <v>28</v>
      </c>
      <c r="F230" s="44" t="s">
        <v>726</v>
      </c>
    </row>
    <row r="231" spans="2:6" x14ac:dyDescent="0.45">
      <c r="B231" s="37">
        <v>565</v>
      </c>
      <c r="C231" s="38">
        <v>43161</v>
      </c>
      <c r="D231" s="171">
        <v>0.76987268518860219</v>
      </c>
      <c r="E231" s="163" t="s">
        <v>28</v>
      </c>
      <c r="F231" s="39" t="s">
        <v>758</v>
      </c>
    </row>
    <row r="232" spans="2:6" x14ac:dyDescent="0.45">
      <c r="B232" s="37">
        <v>564</v>
      </c>
      <c r="C232" s="38">
        <v>43161</v>
      </c>
      <c r="D232" s="171">
        <v>0.63461805555562023</v>
      </c>
      <c r="E232" s="163" t="s">
        <v>28</v>
      </c>
      <c r="F232" s="39" t="s">
        <v>757</v>
      </c>
    </row>
    <row r="233" spans="2:6" x14ac:dyDescent="0.45">
      <c r="B233" s="37">
        <v>563</v>
      </c>
      <c r="C233" s="38">
        <v>43161</v>
      </c>
      <c r="D233" s="171">
        <v>0.48667824074072996</v>
      </c>
      <c r="E233" s="163" t="s">
        <v>28</v>
      </c>
      <c r="F233" s="39" t="s">
        <v>755</v>
      </c>
    </row>
    <row r="234" spans="2:6" x14ac:dyDescent="0.45">
      <c r="B234" s="37">
        <v>562</v>
      </c>
      <c r="C234" s="38">
        <v>43161</v>
      </c>
      <c r="D234" s="171">
        <v>0.43909722222451819</v>
      </c>
      <c r="E234" s="163" t="s">
        <v>28</v>
      </c>
      <c r="F234" s="44" t="s">
        <v>754</v>
      </c>
    </row>
    <row r="235" spans="2:6" x14ac:dyDescent="0.45">
      <c r="B235" s="37">
        <v>561</v>
      </c>
      <c r="C235" s="38">
        <v>43160</v>
      </c>
      <c r="D235" s="171">
        <v>0.60023148148320615</v>
      </c>
      <c r="E235" s="163" t="s">
        <v>28</v>
      </c>
      <c r="F235" s="39" t="s">
        <v>753</v>
      </c>
    </row>
    <row r="236" spans="2:6" x14ac:dyDescent="0.45">
      <c r="B236" s="37">
        <v>560</v>
      </c>
      <c r="C236" s="38">
        <v>43160</v>
      </c>
      <c r="D236" s="171">
        <v>0.48211805555911269</v>
      </c>
      <c r="E236" s="163" t="s">
        <v>28</v>
      </c>
      <c r="F236" s="39" t="s">
        <v>752</v>
      </c>
    </row>
    <row r="237" spans="2:6" ht="28.5" x14ac:dyDescent="0.45">
      <c r="B237" s="37">
        <v>559</v>
      </c>
      <c r="C237" s="38">
        <v>43160</v>
      </c>
      <c r="D237" s="171">
        <v>0.35474537037225673</v>
      </c>
      <c r="E237" s="163" t="s">
        <v>28</v>
      </c>
      <c r="F237" s="44" t="s">
        <v>751</v>
      </c>
    </row>
    <row r="238" spans="2:6" x14ac:dyDescent="0.45">
      <c r="B238" s="37">
        <v>558</v>
      </c>
      <c r="C238" s="38">
        <v>43160</v>
      </c>
      <c r="D238" s="171">
        <v>0.31822916666715173</v>
      </c>
      <c r="E238" s="163" t="s">
        <v>28</v>
      </c>
      <c r="F238" s="44" t="s">
        <v>750</v>
      </c>
    </row>
    <row r="239" spans="2:6" x14ac:dyDescent="0.45">
      <c r="B239" s="37">
        <v>557</v>
      </c>
      <c r="C239" s="38">
        <v>43159</v>
      </c>
      <c r="D239" s="171">
        <v>0.64828703703824431</v>
      </c>
      <c r="E239" s="163" t="s">
        <v>28</v>
      </c>
      <c r="F239" s="39" t="s">
        <v>747</v>
      </c>
    </row>
    <row r="240" spans="2:6" x14ac:dyDescent="0.45">
      <c r="B240" s="37">
        <v>556</v>
      </c>
      <c r="C240" s="38">
        <v>43159</v>
      </c>
      <c r="D240" s="171">
        <v>0.47490740740613546</v>
      </c>
      <c r="E240" s="163" t="s">
        <v>28</v>
      </c>
      <c r="F240" s="39" t="s">
        <v>746</v>
      </c>
    </row>
    <row r="241" spans="2:6" x14ac:dyDescent="0.45">
      <c r="B241" s="37">
        <v>555</v>
      </c>
      <c r="C241" s="38">
        <v>43158</v>
      </c>
      <c r="D241" s="171">
        <v>0.60203703703882638</v>
      </c>
      <c r="E241" s="163" t="s">
        <v>28</v>
      </c>
      <c r="F241" s="39" t="s">
        <v>745</v>
      </c>
    </row>
    <row r="242" spans="2:6" x14ac:dyDescent="0.45">
      <c r="B242" s="37">
        <v>554</v>
      </c>
      <c r="C242" s="38">
        <v>43158</v>
      </c>
      <c r="D242" s="171">
        <v>0.52150462962890742</v>
      </c>
      <c r="E242" s="163" t="s">
        <v>28</v>
      </c>
      <c r="F242" s="44" t="s">
        <v>744</v>
      </c>
    </row>
    <row r="243" spans="2:6" x14ac:dyDescent="0.45">
      <c r="B243" s="37">
        <v>553</v>
      </c>
      <c r="C243" s="38">
        <v>43157</v>
      </c>
      <c r="D243" s="171">
        <v>0.71681712962890742</v>
      </c>
      <c r="E243" s="163" t="s">
        <v>28</v>
      </c>
      <c r="F243" s="39" t="s">
        <v>743</v>
      </c>
    </row>
    <row r="244" spans="2:6" x14ac:dyDescent="0.45">
      <c r="B244" s="37">
        <v>552</v>
      </c>
      <c r="C244" s="38">
        <v>43157</v>
      </c>
      <c r="D244" s="171">
        <v>0.69586805555445608</v>
      </c>
      <c r="E244" s="163" t="s">
        <v>28</v>
      </c>
      <c r="F244" s="39" t="s">
        <v>742</v>
      </c>
    </row>
    <row r="245" spans="2:6" x14ac:dyDescent="0.45">
      <c r="B245" s="37">
        <v>551</v>
      </c>
      <c r="C245" s="38">
        <v>43157</v>
      </c>
      <c r="D245" s="171">
        <v>0.62101851851912215</v>
      </c>
      <c r="E245" s="163" t="s">
        <v>28</v>
      </c>
      <c r="F245" s="39" t="s">
        <v>741</v>
      </c>
    </row>
    <row r="246" spans="2:6" x14ac:dyDescent="0.45">
      <c r="B246" s="37">
        <v>550</v>
      </c>
      <c r="C246" s="38">
        <v>43157</v>
      </c>
      <c r="D246" s="171">
        <v>0.47348379629693227</v>
      </c>
      <c r="E246" s="163" t="s">
        <v>28</v>
      </c>
      <c r="F246" s="44" t="s">
        <v>740</v>
      </c>
    </row>
    <row r="247" spans="2:6" x14ac:dyDescent="0.45">
      <c r="B247" s="37">
        <v>549</v>
      </c>
      <c r="C247" s="38">
        <v>43152</v>
      </c>
      <c r="D247" s="171">
        <v>0.65581018518423662</v>
      </c>
      <c r="E247" s="163" t="s">
        <v>28</v>
      </c>
      <c r="F247" s="39" t="s">
        <v>739</v>
      </c>
    </row>
    <row r="248" spans="2:6" x14ac:dyDescent="0.45">
      <c r="B248" s="37">
        <v>548</v>
      </c>
      <c r="C248" s="38">
        <v>43152</v>
      </c>
      <c r="D248" s="171">
        <v>0.58287037037371192</v>
      </c>
      <c r="E248" s="163" t="s">
        <v>28</v>
      </c>
      <c r="F248" s="39" t="s">
        <v>738</v>
      </c>
    </row>
    <row r="249" spans="2:6" x14ac:dyDescent="0.45">
      <c r="B249" s="37">
        <v>547</v>
      </c>
      <c r="C249" s="38">
        <v>43152</v>
      </c>
      <c r="D249" s="171">
        <v>0.55725694444117835</v>
      </c>
      <c r="E249" s="163" t="s">
        <v>28</v>
      </c>
      <c r="F249" s="39" t="s">
        <v>737</v>
      </c>
    </row>
    <row r="250" spans="2:6" x14ac:dyDescent="0.45">
      <c r="B250" s="37">
        <v>546</v>
      </c>
      <c r="C250" s="38">
        <v>43152</v>
      </c>
      <c r="D250" s="171">
        <v>0.4765625</v>
      </c>
      <c r="E250" s="163" t="s">
        <v>28</v>
      </c>
      <c r="F250" s="39" t="s">
        <v>736</v>
      </c>
    </row>
    <row r="251" spans="2:6" x14ac:dyDescent="0.45">
      <c r="B251" s="37">
        <v>545</v>
      </c>
      <c r="C251" s="38">
        <v>43152</v>
      </c>
      <c r="D251" s="171">
        <v>0.45707175925781485</v>
      </c>
      <c r="E251" s="163" t="s">
        <v>28</v>
      </c>
      <c r="F251" s="39" t="s">
        <v>735</v>
      </c>
    </row>
    <row r="252" spans="2:6" x14ac:dyDescent="0.45">
      <c r="B252" s="37">
        <v>542</v>
      </c>
      <c r="C252" s="38">
        <v>43151</v>
      </c>
      <c r="D252" s="171">
        <v>0.66644675925635966</v>
      </c>
      <c r="E252" s="163" t="s">
        <v>28</v>
      </c>
      <c r="F252" s="39" t="s">
        <v>734</v>
      </c>
    </row>
    <row r="253" spans="2:6" x14ac:dyDescent="0.45">
      <c r="B253" s="37">
        <v>541</v>
      </c>
      <c r="C253" s="38">
        <v>43151</v>
      </c>
      <c r="D253" s="171">
        <v>0.51590277777722804</v>
      </c>
      <c r="E253" s="163" t="s">
        <v>28</v>
      </c>
      <c r="F253" s="39" t="s">
        <v>733</v>
      </c>
    </row>
    <row r="254" spans="2:6" x14ac:dyDescent="0.45">
      <c r="B254" s="37">
        <v>540</v>
      </c>
      <c r="C254" s="38">
        <v>43150</v>
      </c>
      <c r="D254" s="171">
        <v>0.44391203703708015</v>
      </c>
      <c r="E254" s="163" t="s">
        <v>28</v>
      </c>
      <c r="F254" s="39" t="s">
        <v>732</v>
      </c>
    </row>
    <row r="255" spans="2:6" x14ac:dyDescent="0.45">
      <c r="B255" s="37">
        <v>539</v>
      </c>
      <c r="C255" s="38">
        <v>43139</v>
      </c>
      <c r="D255" s="171">
        <v>0.72812500000145519</v>
      </c>
      <c r="E255" s="163" t="s">
        <v>28</v>
      </c>
      <c r="F255" s="39" t="s">
        <v>731</v>
      </c>
    </row>
    <row r="256" spans="2:6" x14ac:dyDescent="0.45">
      <c r="B256" s="37">
        <v>538</v>
      </c>
      <c r="C256" s="38">
        <v>43138</v>
      </c>
      <c r="D256" s="171">
        <v>0.79129629629460396</v>
      </c>
      <c r="E256" s="163" t="s">
        <v>28</v>
      </c>
      <c r="F256" s="39" t="s">
        <v>730</v>
      </c>
    </row>
    <row r="257" spans="2:6" x14ac:dyDescent="0.45">
      <c r="B257" s="37">
        <v>537</v>
      </c>
      <c r="C257" s="38">
        <v>43138</v>
      </c>
      <c r="D257" s="171">
        <v>0.68190972222510027</v>
      </c>
      <c r="E257" s="163" t="s">
        <v>28</v>
      </c>
      <c r="F257" s="39" t="s">
        <v>727</v>
      </c>
    </row>
    <row r="258" spans="2:6" x14ac:dyDescent="0.45">
      <c r="B258" s="37">
        <v>536</v>
      </c>
      <c r="C258" s="38">
        <v>43138</v>
      </c>
      <c r="D258" s="171">
        <v>0.43239583333343035</v>
      </c>
      <c r="E258" s="163" t="s">
        <v>28</v>
      </c>
      <c r="F258" s="39" t="s">
        <v>726</v>
      </c>
    </row>
    <row r="259" spans="2:6" x14ac:dyDescent="0.45">
      <c r="B259" s="37">
        <v>535</v>
      </c>
      <c r="C259" s="38">
        <v>43137</v>
      </c>
      <c r="D259" s="171">
        <v>0.82827546296175569</v>
      </c>
      <c r="E259" s="163" t="s">
        <v>28</v>
      </c>
      <c r="F259" s="39" t="s">
        <v>725</v>
      </c>
    </row>
    <row r="260" spans="2:6" x14ac:dyDescent="0.45">
      <c r="B260" s="37">
        <v>534</v>
      </c>
      <c r="C260" s="38">
        <v>43137</v>
      </c>
      <c r="D260" s="171">
        <v>0.60275462963181781</v>
      </c>
      <c r="E260" s="163" t="s">
        <v>28</v>
      </c>
      <c r="F260" s="39" t="s">
        <v>724</v>
      </c>
    </row>
    <row r="261" spans="2:6" x14ac:dyDescent="0.45">
      <c r="B261" s="37">
        <v>533</v>
      </c>
      <c r="C261" s="38">
        <v>43133</v>
      </c>
      <c r="D261" s="171">
        <v>0.64637731481343508</v>
      </c>
      <c r="E261" s="163" t="s">
        <v>28</v>
      </c>
      <c r="F261" s="39" t="s">
        <v>723</v>
      </c>
    </row>
    <row r="262" spans="2:6" x14ac:dyDescent="0.45">
      <c r="B262" s="37">
        <v>532</v>
      </c>
      <c r="C262" s="38">
        <v>43133</v>
      </c>
      <c r="D262" s="171">
        <v>0.62657407407095889</v>
      </c>
      <c r="E262" s="163" t="s">
        <v>28</v>
      </c>
      <c r="F262" s="39" t="s">
        <v>722</v>
      </c>
    </row>
    <row r="263" spans="2:6" x14ac:dyDescent="0.45">
      <c r="B263" s="37">
        <v>531</v>
      </c>
      <c r="C263" s="38">
        <v>43130</v>
      </c>
      <c r="D263" s="171">
        <v>0.35606481481227092</v>
      </c>
      <c r="E263" s="163" t="s">
        <v>28</v>
      </c>
      <c r="F263" s="44" t="s">
        <v>721</v>
      </c>
    </row>
    <row r="264" spans="2:6" x14ac:dyDescent="0.45">
      <c r="B264" s="37">
        <v>530</v>
      </c>
      <c r="C264" s="38">
        <v>43129</v>
      </c>
      <c r="D264" s="171">
        <v>0.71063657407648861</v>
      </c>
      <c r="E264" s="163" t="s">
        <v>28</v>
      </c>
      <c r="F264" s="44" t="s">
        <v>720</v>
      </c>
    </row>
    <row r="265" spans="2:6" x14ac:dyDescent="0.45">
      <c r="B265" s="37">
        <v>529</v>
      </c>
      <c r="C265" s="38">
        <v>43118</v>
      </c>
      <c r="D265" s="171">
        <v>0.61791666666977108</v>
      </c>
      <c r="E265" s="163" t="s">
        <v>28</v>
      </c>
      <c r="F265" s="39" t="s">
        <v>719</v>
      </c>
    </row>
    <row r="266" spans="2:6" x14ac:dyDescent="0.45">
      <c r="B266" s="37">
        <v>528</v>
      </c>
      <c r="C266" s="38">
        <v>43118</v>
      </c>
      <c r="D266" s="171">
        <v>0.60905092592292931</v>
      </c>
      <c r="E266" s="163" t="s">
        <v>28</v>
      </c>
      <c r="F266" s="39" t="s">
        <v>719</v>
      </c>
    </row>
    <row r="267" spans="2:6" x14ac:dyDescent="0.45">
      <c r="B267" s="37">
        <v>527</v>
      </c>
      <c r="C267" s="38">
        <v>43117</v>
      </c>
      <c r="D267" s="171">
        <v>0.635393518517958</v>
      </c>
      <c r="E267" s="163" t="s">
        <v>28</v>
      </c>
      <c r="F267" s="39" t="s">
        <v>719</v>
      </c>
    </row>
    <row r="268" spans="2:6" x14ac:dyDescent="0.45">
      <c r="B268" s="37">
        <v>526</v>
      </c>
      <c r="C268" s="38">
        <v>43081</v>
      </c>
      <c r="D268" s="171">
        <v>0.60549768518831115</v>
      </c>
      <c r="E268" s="163" t="s">
        <v>28</v>
      </c>
      <c r="F268" s="39" t="s">
        <v>718</v>
      </c>
    </row>
    <row r="269" spans="2:6" x14ac:dyDescent="0.45">
      <c r="B269" s="37">
        <v>525</v>
      </c>
      <c r="C269" s="38">
        <v>43080</v>
      </c>
      <c r="D269" s="171">
        <v>0.4675115740756155</v>
      </c>
      <c r="E269" s="163" t="s">
        <v>28</v>
      </c>
      <c r="F269" s="39" t="s">
        <v>717</v>
      </c>
    </row>
    <row r="270" spans="2:6" x14ac:dyDescent="0.45">
      <c r="B270" s="37">
        <v>524</v>
      </c>
      <c r="C270" s="38">
        <v>43080</v>
      </c>
      <c r="D270" s="171">
        <v>0.44460648148378823</v>
      </c>
      <c r="E270" s="163" t="s">
        <v>28</v>
      </c>
      <c r="F270" s="39" t="s">
        <v>716</v>
      </c>
    </row>
    <row r="271" spans="2:6" x14ac:dyDescent="0.45">
      <c r="B271" s="37">
        <v>523</v>
      </c>
      <c r="C271" s="38">
        <v>43080</v>
      </c>
      <c r="D271" s="171">
        <v>0.42376157407124992</v>
      </c>
      <c r="E271" s="163" t="s">
        <v>28</v>
      </c>
      <c r="F271" s="39" t="s">
        <v>715</v>
      </c>
    </row>
    <row r="272" spans="2:6" x14ac:dyDescent="0.45">
      <c r="B272" s="37">
        <v>522</v>
      </c>
      <c r="C272" s="38">
        <v>43076</v>
      </c>
      <c r="D272" s="171">
        <v>0.89591435185138835</v>
      </c>
      <c r="E272" s="163" t="s">
        <v>28</v>
      </c>
      <c r="F272" s="39" t="s">
        <v>714</v>
      </c>
    </row>
    <row r="273" spans="2:6" x14ac:dyDescent="0.45">
      <c r="B273" s="37">
        <v>521</v>
      </c>
      <c r="C273" s="38">
        <v>43076</v>
      </c>
      <c r="D273" s="171">
        <v>0.37276620370539604</v>
      </c>
      <c r="E273" s="163" t="s">
        <v>28</v>
      </c>
      <c r="F273" s="44" t="s">
        <v>713</v>
      </c>
    </row>
    <row r="274" spans="2:6" x14ac:dyDescent="0.45">
      <c r="B274" s="37">
        <v>520</v>
      </c>
      <c r="C274" s="38">
        <v>43075</v>
      </c>
      <c r="D274" s="171">
        <v>0.71427083333401242</v>
      </c>
      <c r="E274" s="163" t="s">
        <v>28</v>
      </c>
      <c r="F274" s="39" t="s">
        <v>712</v>
      </c>
    </row>
    <row r="275" spans="2:6" x14ac:dyDescent="0.45">
      <c r="B275" s="37">
        <v>519</v>
      </c>
      <c r="C275" s="38">
        <v>43075</v>
      </c>
      <c r="D275" s="171">
        <v>0.68820601851621177</v>
      </c>
      <c r="E275" s="163" t="s">
        <v>28</v>
      </c>
      <c r="F275" s="39" t="s">
        <v>711</v>
      </c>
    </row>
    <row r="276" spans="2:6" x14ac:dyDescent="0.45">
      <c r="B276" s="37">
        <v>518</v>
      </c>
      <c r="C276" s="38">
        <v>43075</v>
      </c>
      <c r="D276" s="171">
        <v>0.58541666666860692</v>
      </c>
      <c r="E276" s="163" t="s">
        <v>28</v>
      </c>
      <c r="F276" s="39" t="s">
        <v>710</v>
      </c>
    </row>
    <row r="277" spans="2:6" x14ac:dyDescent="0.45">
      <c r="B277" s="37">
        <v>517</v>
      </c>
      <c r="C277" s="38">
        <v>43075</v>
      </c>
      <c r="D277" s="171">
        <v>0.57502314815064892</v>
      </c>
      <c r="E277" s="163" t="s">
        <v>28</v>
      </c>
      <c r="F277" s="44" t="s">
        <v>709</v>
      </c>
    </row>
    <row r="278" spans="2:6" x14ac:dyDescent="0.45">
      <c r="B278" s="37">
        <v>516</v>
      </c>
      <c r="C278" s="38">
        <v>43074</v>
      </c>
      <c r="D278" s="171">
        <v>0.76980324074247619</v>
      </c>
      <c r="E278" s="163" t="s">
        <v>28</v>
      </c>
      <c r="F278" s="39" t="s">
        <v>707</v>
      </c>
    </row>
    <row r="279" spans="2:6" x14ac:dyDescent="0.45">
      <c r="B279" s="37">
        <v>515</v>
      </c>
      <c r="C279" s="38">
        <v>43074</v>
      </c>
      <c r="D279" s="171">
        <v>0.76733796296321088</v>
      </c>
      <c r="E279" s="163" t="s">
        <v>28</v>
      </c>
      <c r="F279" s="39" t="s">
        <v>706</v>
      </c>
    </row>
    <row r="280" spans="2:6" x14ac:dyDescent="0.45">
      <c r="B280" s="37">
        <v>514</v>
      </c>
      <c r="C280" s="38">
        <v>43074</v>
      </c>
      <c r="D280" s="171">
        <v>0.67078703703737119</v>
      </c>
      <c r="E280" s="163" t="s">
        <v>28</v>
      </c>
      <c r="F280" s="39" t="s">
        <v>705</v>
      </c>
    </row>
    <row r="281" spans="2:6" x14ac:dyDescent="0.45">
      <c r="B281" s="37">
        <v>513</v>
      </c>
      <c r="C281" s="38">
        <v>43074</v>
      </c>
      <c r="D281" s="171">
        <v>0.55061342592671281</v>
      </c>
      <c r="E281" s="163" t="s">
        <v>28</v>
      </c>
      <c r="F281" s="39" t="s">
        <v>704</v>
      </c>
    </row>
    <row r="282" spans="2:6" x14ac:dyDescent="0.45">
      <c r="B282" s="37">
        <v>512</v>
      </c>
      <c r="C282" s="38">
        <v>43074</v>
      </c>
      <c r="D282" s="171">
        <v>0.51126157407270512</v>
      </c>
      <c r="E282" s="163" t="s">
        <v>28</v>
      </c>
      <c r="F282" s="44" t="s">
        <v>703</v>
      </c>
    </row>
    <row r="283" spans="2:6" x14ac:dyDescent="0.45">
      <c r="B283" s="37">
        <v>511</v>
      </c>
      <c r="C283" s="38">
        <v>43074</v>
      </c>
      <c r="D283" s="171">
        <v>0.50805555555416504</v>
      </c>
      <c r="E283" s="163" t="s">
        <v>28</v>
      </c>
      <c r="F283" s="39" t="s">
        <v>702</v>
      </c>
    </row>
    <row r="284" spans="2:6" x14ac:dyDescent="0.45">
      <c r="B284" s="37">
        <v>510</v>
      </c>
      <c r="C284" s="38">
        <v>43074</v>
      </c>
      <c r="D284" s="171">
        <v>0.44493055555358296</v>
      </c>
      <c r="E284" s="163" t="s">
        <v>28</v>
      </c>
      <c r="F284" s="39" t="s">
        <v>701</v>
      </c>
    </row>
    <row r="285" spans="2:6" x14ac:dyDescent="0.45">
      <c r="B285" s="37">
        <v>509</v>
      </c>
      <c r="C285" s="38">
        <v>43074</v>
      </c>
      <c r="D285" s="171">
        <v>0.44288194444379769</v>
      </c>
      <c r="E285" s="163" t="s">
        <v>28</v>
      </c>
      <c r="F285" s="39" t="s">
        <v>700</v>
      </c>
    </row>
    <row r="286" spans="2:6" x14ac:dyDescent="0.45">
      <c r="B286" s="37">
        <v>508</v>
      </c>
      <c r="C286" s="38">
        <v>43073</v>
      </c>
      <c r="D286" s="171">
        <v>0.78370370370248565</v>
      </c>
      <c r="E286" s="163" t="s">
        <v>28</v>
      </c>
      <c r="F286" s="44" t="s">
        <v>699</v>
      </c>
    </row>
    <row r="287" spans="2:6" x14ac:dyDescent="0.45">
      <c r="B287" s="37">
        <v>507</v>
      </c>
      <c r="C287" s="38">
        <v>43073</v>
      </c>
      <c r="D287" s="171">
        <v>0.37228009258979</v>
      </c>
      <c r="E287" s="163" t="s">
        <v>28</v>
      </c>
      <c r="F287" s="39" t="s">
        <v>698</v>
      </c>
    </row>
    <row r="288" spans="2:6" x14ac:dyDescent="0.45">
      <c r="B288" s="37">
        <v>506</v>
      </c>
      <c r="C288" s="38">
        <v>43070</v>
      </c>
      <c r="D288" s="171">
        <v>0.74660879629664123</v>
      </c>
      <c r="E288" s="163" t="s">
        <v>28</v>
      </c>
      <c r="F288" s="44" t="s">
        <v>697</v>
      </c>
    </row>
    <row r="289" spans="2:6" x14ac:dyDescent="0.45">
      <c r="B289" s="37">
        <v>505</v>
      </c>
      <c r="C289" s="38">
        <v>43070</v>
      </c>
      <c r="D289" s="171">
        <v>0.66557870370161254</v>
      </c>
      <c r="E289" s="163" t="s">
        <v>28</v>
      </c>
      <c r="F289" s="39" t="s">
        <v>696</v>
      </c>
    </row>
    <row r="290" spans="2:6" x14ac:dyDescent="0.45">
      <c r="B290" s="37">
        <v>504</v>
      </c>
      <c r="C290" s="38">
        <v>43070</v>
      </c>
      <c r="D290" s="171">
        <v>0.57954861110920319</v>
      </c>
      <c r="E290" s="163" t="s">
        <v>28</v>
      </c>
      <c r="F290" s="39" t="s">
        <v>695</v>
      </c>
    </row>
    <row r="291" spans="2:6" x14ac:dyDescent="0.45">
      <c r="B291" s="37">
        <v>503</v>
      </c>
      <c r="C291" s="38">
        <v>43070</v>
      </c>
      <c r="D291" s="171">
        <v>0.57003472222277196</v>
      </c>
      <c r="E291" s="163" t="s">
        <v>28</v>
      </c>
      <c r="F291" s="39" t="s">
        <v>694</v>
      </c>
    </row>
    <row r="292" spans="2:6" x14ac:dyDescent="0.45">
      <c r="B292" s="37">
        <v>502</v>
      </c>
      <c r="C292" s="38">
        <v>43070</v>
      </c>
      <c r="D292" s="171">
        <v>0.56899305555270985</v>
      </c>
      <c r="E292" s="163" t="s">
        <v>28</v>
      </c>
      <c r="F292" s="39" t="s">
        <v>693</v>
      </c>
    </row>
    <row r="293" spans="2:6" x14ac:dyDescent="0.45">
      <c r="B293" s="37">
        <v>501</v>
      </c>
      <c r="C293" s="38">
        <v>43070</v>
      </c>
      <c r="D293" s="171">
        <v>0.523472222223063</v>
      </c>
      <c r="E293" s="163" t="s">
        <v>28</v>
      </c>
      <c r="F293" s="44" t="s">
        <v>692</v>
      </c>
    </row>
    <row r="294" spans="2:6" x14ac:dyDescent="0.45">
      <c r="B294" s="37">
        <v>500</v>
      </c>
      <c r="C294" s="38">
        <v>43070</v>
      </c>
      <c r="D294" s="171">
        <v>0.50467592592758592</v>
      </c>
      <c r="E294" s="163" t="s">
        <v>28</v>
      </c>
      <c r="F294" s="39" t="s">
        <v>691</v>
      </c>
    </row>
    <row r="295" spans="2:6" x14ac:dyDescent="0.45">
      <c r="B295" s="37">
        <v>499</v>
      </c>
      <c r="C295" s="38">
        <v>43070</v>
      </c>
      <c r="D295" s="171">
        <v>0.44840277777984738</v>
      </c>
      <c r="E295" s="163" t="s">
        <v>28</v>
      </c>
      <c r="F295" s="39" t="s">
        <v>689</v>
      </c>
    </row>
    <row r="296" spans="2:6" x14ac:dyDescent="0.45">
      <c r="B296" s="37">
        <v>498</v>
      </c>
      <c r="C296" s="38">
        <v>43070</v>
      </c>
      <c r="D296" s="171">
        <v>0.43342592592671281</v>
      </c>
      <c r="E296" s="163" t="s">
        <v>28</v>
      </c>
      <c r="F296" s="39" t="s">
        <v>688</v>
      </c>
    </row>
    <row r="297" spans="2:6" x14ac:dyDescent="0.45">
      <c r="B297" s="37">
        <v>497</v>
      </c>
      <c r="C297" s="38">
        <v>43067</v>
      </c>
      <c r="D297" s="171">
        <v>0.4389467592627625</v>
      </c>
      <c r="E297" s="163" t="s">
        <v>28</v>
      </c>
      <c r="F297" s="44" t="s">
        <v>687</v>
      </c>
    </row>
    <row r="298" spans="2:6" x14ac:dyDescent="0.45">
      <c r="B298" s="37">
        <v>496</v>
      </c>
      <c r="C298" s="38">
        <v>43066</v>
      </c>
      <c r="D298" s="171">
        <v>0.48887731481227092</v>
      </c>
      <c r="E298" s="163" t="s">
        <v>28</v>
      </c>
      <c r="F298" s="44" t="s">
        <v>686</v>
      </c>
    </row>
    <row r="299" spans="2:6" x14ac:dyDescent="0.45">
      <c r="B299" s="37">
        <v>495</v>
      </c>
      <c r="C299" s="38">
        <v>43063</v>
      </c>
      <c r="D299" s="171">
        <v>0.66559027777839219</v>
      </c>
      <c r="E299" s="163" t="s">
        <v>28</v>
      </c>
      <c r="F299" s="39" t="s">
        <v>685</v>
      </c>
    </row>
    <row r="300" spans="2:6" x14ac:dyDescent="0.45">
      <c r="B300" s="37">
        <v>494</v>
      </c>
      <c r="C300" s="38">
        <v>43063</v>
      </c>
      <c r="D300" s="171">
        <v>0.59018518518860219</v>
      </c>
      <c r="E300" s="163" t="s">
        <v>28</v>
      </c>
      <c r="F300" s="39" t="s">
        <v>684</v>
      </c>
    </row>
    <row r="301" spans="2:6" x14ac:dyDescent="0.45">
      <c r="B301" s="37">
        <v>493</v>
      </c>
      <c r="C301" s="38">
        <v>43063</v>
      </c>
      <c r="D301" s="171">
        <v>0.48479166666948004</v>
      </c>
      <c r="E301" s="163" t="s">
        <v>28</v>
      </c>
      <c r="F301" s="39" t="s">
        <v>683</v>
      </c>
    </row>
    <row r="302" spans="2:6" x14ac:dyDescent="0.45">
      <c r="B302" s="37">
        <v>492</v>
      </c>
      <c r="C302" s="38">
        <v>43062</v>
      </c>
      <c r="D302" s="171">
        <v>0.67687499999738066</v>
      </c>
      <c r="E302" s="163" t="s">
        <v>28</v>
      </c>
      <c r="F302" s="44" t="s">
        <v>682</v>
      </c>
    </row>
    <row r="303" spans="2:6" x14ac:dyDescent="0.45">
      <c r="B303" s="37">
        <v>491</v>
      </c>
      <c r="C303" s="38">
        <v>43056</v>
      </c>
      <c r="D303" s="171">
        <v>0.73129629629693227</v>
      </c>
      <c r="E303" s="163" t="s">
        <v>28</v>
      </c>
      <c r="F303" s="39" t="s">
        <v>681</v>
      </c>
    </row>
    <row r="304" spans="2:6" x14ac:dyDescent="0.45">
      <c r="B304" s="37">
        <v>490</v>
      </c>
      <c r="C304" s="38">
        <v>43056</v>
      </c>
      <c r="D304" s="171">
        <v>0.72734953703911742</v>
      </c>
      <c r="E304" s="163" t="s">
        <v>28</v>
      </c>
      <c r="F304" s="39" t="s">
        <v>680</v>
      </c>
    </row>
    <row r="305" spans="2:6" x14ac:dyDescent="0.45">
      <c r="B305" s="37">
        <v>489</v>
      </c>
      <c r="C305" s="38">
        <v>43038</v>
      </c>
      <c r="D305" s="171">
        <v>0.55703703704057261</v>
      </c>
      <c r="E305" s="163" t="s">
        <v>28</v>
      </c>
      <c r="F305" s="44" t="s">
        <v>679</v>
      </c>
    </row>
    <row r="306" spans="2:6" x14ac:dyDescent="0.45">
      <c r="B306" s="37">
        <v>488</v>
      </c>
      <c r="C306" s="38">
        <v>43038</v>
      </c>
      <c r="D306" s="171">
        <v>0.41405092592322035</v>
      </c>
      <c r="E306" s="163" t="s">
        <v>28</v>
      </c>
      <c r="F306" s="44" t="s">
        <v>678</v>
      </c>
    </row>
    <row r="307" spans="2:6" x14ac:dyDescent="0.45">
      <c r="B307" s="37">
        <v>487</v>
      </c>
      <c r="C307" s="38">
        <v>43017</v>
      </c>
      <c r="D307" s="171">
        <v>0.479108796294895</v>
      </c>
      <c r="E307" s="163" t="s">
        <v>28</v>
      </c>
      <c r="F307" s="39" t="s">
        <v>677</v>
      </c>
    </row>
    <row r="308" spans="2:6" x14ac:dyDescent="0.45">
      <c r="B308" s="37">
        <v>486</v>
      </c>
      <c r="C308" s="38">
        <v>43013</v>
      </c>
      <c r="D308" s="171">
        <v>0.72393518518219935</v>
      </c>
      <c r="E308" s="163" t="s">
        <v>28</v>
      </c>
      <c r="F308" s="44" t="s">
        <v>676</v>
      </c>
    </row>
    <row r="309" spans="2:6" x14ac:dyDescent="0.45">
      <c r="B309" s="37">
        <v>485</v>
      </c>
      <c r="C309" s="38">
        <v>43011</v>
      </c>
      <c r="D309" s="171">
        <v>0.68857638888584916</v>
      </c>
      <c r="E309" s="163" t="s">
        <v>28</v>
      </c>
      <c r="F309" s="39" t="s">
        <v>675</v>
      </c>
    </row>
    <row r="310" spans="2:6" x14ac:dyDescent="0.45">
      <c r="B310" s="37">
        <v>484</v>
      </c>
      <c r="C310" s="38">
        <v>43006</v>
      </c>
      <c r="D310" s="171">
        <v>0.41736111111094942</v>
      </c>
      <c r="E310" s="163" t="s">
        <v>28</v>
      </c>
      <c r="F310" s="39" t="s">
        <v>674</v>
      </c>
    </row>
    <row r="311" spans="2:6" x14ac:dyDescent="0.45">
      <c r="B311" s="37">
        <v>483</v>
      </c>
      <c r="C311" s="38">
        <v>43005</v>
      </c>
      <c r="D311" s="171">
        <v>0.75983796296350192</v>
      </c>
      <c r="E311" s="163" t="s">
        <v>28</v>
      </c>
      <c r="F311" s="44" t="s">
        <v>673</v>
      </c>
    </row>
    <row r="312" spans="2:6" x14ac:dyDescent="0.45">
      <c r="B312" s="37">
        <v>482</v>
      </c>
      <c r="C312" s="38">
        <v>43005</v>
      </c>
      <c r="D312" s="171">
        <v>0.70364583333139308</v>
      </c>
      <c r="E312" s="163" t="s">
        <v>28</v>
      </c>
      <c r="F312" s="39" t="s">
        <v>672</v>
      </c>
    </row>
    <row r="313" spans="2:6" x14ac:dyDescent="0.45">
      <c r="B313" s="37">
        <v>481</v>
      </c>
      <c r="C313" s="38">
        <v>43005</v>
      </c>
      <c r="D313" s="171">
        <v>0.57762731481489027</v>
      </c>
      <c r="E313" s="163" t="s">
        <v>28</v>
      </c>
      <c r="F313" s="39" t="s">
        <v>671</v>
      </c>
    </row>
    <row r="314" spans="2:6" x14ac:dyDescent="0.45">
      <c r="B314" s="37">
        <v>480</v>
      </c>
      <c r="C314" s="38">
        <v>43005</v>
      </c>
      <c r="D314" s="171">
        <v>0.47815972222451819</v>
      </c>
      <c r="E314" s="163" t="s">
        <v>28</v>
      </c>
      <c r="F314" s="44" t="s">
        <v>670</v>
      </c>
    </row>
    <row r="315" spans="2:6" x14ac:dyDescent="0.45">
      <c r="B315" s="37">
        <v>479</v>
      </c>
      <c r="C315" s="38">
        <v>43004</v>
      </c>
      <c r="D315" s="171">
        <v>0.70638888888788642</v>
      </c>
      <c r="E315" s="163" t="s">
        <v>28</v>
      </c>
      <c r="F315" s="39" t="s">
        <v>669</v>
      </c>
    </row>
    <row r="316" spans="2:6" x14ac:dyDescent="0.45">
      <c r="B316" s="37">
        <v>478</v>
      </c>
      <c r="C316" s="38">
        <v>43004</v>
      </c>
      <c r="D316" s="171">
        <v>0.50233796296379296</v>
      </c>
      <c r="E316" s="163" t="s">
        <v>28</v>
      </c>
      <c r="F316" s="39" t="s">
        <v>667</v>
      </c>
    </row>
    <row r="317" spans="2:6" x14ac:dyDescent="0.45">
      <c r="B317" s="37">
        <v>477</v>
      </c>
      <c r="C317" s="38">
        <v>43004</v>
      </c>
      <c r="D317" s="171">
        <v>0.492118055553874</v>
      </c>
      <c r="E317" s="163" t="s">
        <v>28</v>
      </c>
      <c r="F317" s="44" t="s">
        <v>668</v>
      </c>
    </row>
    <row r="318" spans="2:6" x14ac:dyDescent="0.45">
      <c r="B318" s="37">
        <v>476</v>
      </c>
      <c r="C318" s="38">
        <v>43004</v>
      </c>
      <c r="D318" s="171">
        <v>0.4779050925935735</v>
      </c>
      <c r="E318" s="163" t="s">
        <v>28</v>
      </c>
      <c r="F318" s="44" t="s">
        <v>666</v>
      </c>
    </row>
    <row r="319" spans="2:6" x14ac:dyDescent="0.45">
      <c r="B319" s="37">
        <v>475</v>
      </c>
      <c r="C319" s="38">
        <v>43003</v>
      </c>
      <c r="D319" s="171">
        <v>0.50225694444088731</v>
      </c>
      <c r="E319" s="163" t="s">
        <v>28</v>
      </c>
      <c r="F319" s="39" t="s">
        <v>665</v>
      </c>
    </row>
    <row r="320" spans="2:6" x14ac:dyDescent="0.45">
      <c r="B320" s="37">
        <v>474</v>
      </c>
      <c r="C320" s="38">
        <v>43003</v>
      </c>
      <c r="D320" s="171">
        <v>0.41883101851999527</v>
      </c>
      <c r="E320" s="163" t="s">
        <v>28</v>
      </c>
      <c r="F320" s="39" t="s">
        <v>664</v>
      </c>
    </row>
    <row r="321" spans="2:6" x14ac:dyDescent="0.45">
      <c r="B321" s="37">
        <v>473</v>
      </c>
      <c r="C321" s="38">
        <v>43000</v>
      </c>
      <c r="D321" s="171">
        <v>0.63219907407619758</v>
      </c>
      <c r="E321" s="163" t="s">
        <v>28</v>
      </c>
      <c r="F321" s="44" t="s">
        <v>663</v>
      </c>
    </row>
    <row r="322" spans="2:6" x14ac:dyDescent="0.45">
      <c r="B322" s="37">
        <v>472</v>
      </c>
      <c r="C322" s="38">
        <v>42999</v>
      </c>
      <c r="D322" s="171">
        <v>0.58812500000203727</v>
      </c>
      <c r="E322" s="163" t="s">
        <v>28</v>
      </c>
      <c r="F322" s="39" t="s">
        <v>662</v>
      </c>
    </row>
    <row r="323" spans="2:6" x14ac:dyDescent="0.45">
      <c r="B323" s="37">
        <v>471</v>
      </c>
      <c r="C323" s="38">
        <v>42999</v>
      </c>
      <c r="D323" s="171">
        <v>0.38690972221957054</v>
      </c>
      <c r="E323" s="163" t="s">
        <v>28</v>
      </c>
      <c r="F323" s="39" t="s">
        <v>661</v>
      </c>
    </row>
    <row r="324" spans="2:6" x14ac:dyDescent="0.45">
      <c r="B324" s="37">
        <v>470</v>
      </c>
      <c r="C324" s="38">
        <v>42999</v>
      </c>
      <c r="D324" s="171">
        <v>0.38234953703795327</v>
      </c>
      <c r="E324" s="163" t="s">
        <v>28</v>
      </c>
      <c r="F324" s="39" t="s">
        <v>660</v>
      </c>
    </row>
    <row r="325" spans="2:6" x14ac:dyDescent="0.45">
      <c r="B325" s="37">
        <v>469</v>
      </c>
      <c r="C325" s="38">
        <v>42998</v>
      </c>
      <c r="D325" s="171">
        <v>0.73518518518540077</v>
      </c>
      <c r="E325" s="163" t="s">
        <v>28</v>
      </c>
      <c r="F325" s="39" t="s">
        <v>659</v>
      </c>
    </row>
    <row r="326" spans="2:6" x14ac:dyDescent="0.45">
      <c r="B326" s="37">
        <v>468</v>
      </c>
      <c r="C326" s="38">
        <v>42998</v>
      </c>
      <c r="D326" s="171">
        <v>0.71630787036701804</v>
      </c>
      <c r="E326" s="163" t="s">
        <v>28</v>
      </c>
      <c r="F326" s="39" t="s">
        <v>658</v>
      </c>
    </row>
    <row r="327" spans="2:6" x14ac:dyDescent="0.45">
      <c r="B327" s="37">
        <v>467</v>
      </c>
      <c r="C327" s="38">
        <v>42997</v>
      </c>
      <c r="D327" s="171">
        <v>0.50645833333692281</v>
      </c>
      <c r="E327" s="163" t="s">
        <v>28</v>
      </c>
      <c r="F327" s="39" t="s">
        <v>657</v>
      </c>
    </row>
    <row r="328" spans="2:6" x14ac:dyDescent="0.45">
      <c r="B328" s="37">
        <v>466</v>
      </c>
      <c r="C328" s="38">
        <v>42997</v>
      </c>
      <c r="D328" s="171">
        <v>0.43855324073956581</v>
      </c>
      <c r="E328" s="163" t="s">
        <v>28</v>
      </c>
      <c r="F328" s="44" t="s">
        <v>656</v>
      </c>
    </row>
    <row r="329" spans="2:6" x14ac:dyDescent="0.45">
      <c r="B329" s="37">
        <v>465</v>
      </c>
      <c r="C329" s="38">
        <v>42996</v>
      </c>
      <c r="D329" s="171">
        <v>0.80445601851533866</v>
      </c>
      <c r="E329" s="163" t="s">
        <v>28</v>
      </c>
      <c r="F329" s="44" t="s">
        <v>655</v>
      </c>
    </row>
    <row r="330" spans="2:6" x14ac:dyDescent="0.45">
      <c r="B330" s="37">
        <v>464</v>
      </c>
      <c r="C330" s="38">
        <v>42992</v>
      </c>
      <c r="D330" s="171">
        <v>0.72898148147942265</v>
      </c>
      <c r="E330" s="163" t="s">
        <v>28</v>
      </c>
      <c r="F330" s="39" t="s">
        <v>654</v>
      </c>
    </row>
    <row r="331" spans="2:6" x14ac:dyDescent="0.45">
      <c r="B331" s="37">
        <v>463</v>
      </c>
      <c r="C331" s="38">
        <v>42992</v>
      </c>
      <c r="D331" s="171">
        <v>0.55876157407328719</v>
      </c>
      <c r="E331" s="163" t="s">
        <v>28</v>
      </c>
      <c r="F331" s="44" t="s">
        <v>653</v>
      </c>
    </row>
    <row r="332" spans="2:6" x14ac:dyDescent="0.45">
      <c r="B332" s="37">
        <v>462</v>
      </c>
      <c r="C332" s="38">
        <v>42990</v>
      </c>
      <c r="D332" s="171">
        <v>0.63320601851592073</v>
      </c>
      <c r="E332" s="163" t="s">
        <v>28</v>
      </c>
      <c r="F332" s="39" t="s">
        <v>652</v>
      </c>
    </row>
    <row r="333" spans="2:6" x14ac:dyDescent="0.45">
      <c r="B333" s="37">
        <v>461</v>
      </c>
      <c r="C333" s="38">
        <v>42989</v>
      </c>
      <c r="D333" s="171">
        <v>0.61623842592234723</v>
      </c>
      <c r="E333" s="163" t="s">
        <v>28</v>
      </c>
      <c r="F333" s="39" t="s">
        <v>651</v>
      </c>
    </row>
    <row r="334" spans="2:6" x14ac:dyDescent="0.45">
      <c r="B334" s="37">
        <v>460</v>
      </c>
      <c r="C334" s="38">
        <v>42989</v>
      </c>
      <c r="D334" s="171">
        <v>0.49105324073752854</v>
      </c>
      <c r="E334" s="163" t="s">
        <v>28</v>
      </c>
      <c r="F334" s="39" t="s">
        <v>650</v>
      </c>
    </row>
    <row r="335" spans="2:6" x14ac:dyDescent="0.45">
      <c r="B335" s="37">
        <v>459</v>
      </c>
      <c r="C335" s="38">
        <v>42985</v>
      </c>
      <c r="D335" s="171">
        <v>0.50079861110862112</v>
      </c>
      <c r="E335" s="163" t="s">
        <v>28</v>
      </c>
      <c r="F335" s="39" t="s">
        <v>649</v>
      </c>
    </row>
    <row r="336" spans="2:6" x14ac:dyDescent="0.45">
      <c r="B336" s="37">
        <v>458</v>
      </c>
      <c r="C336" s="38">
        <v>42984</v>
      </c>
      <c r="D336" s="171">
        <v>0.71366898147971369</v>
      </c>
      <c r="E336" s="163" t="s">
        <v>28</v>
      </c>
      <c r="F336" s="44" t="s">
        <v>648</v>
      </c>
    </row>
    <row r="337" spans="2:6" x14ac:dyDescent="0.45">
      <c r="B337" s="37">
        <v>457</v>
      </c>
      <c r="C337" s="38">
        <v>42984</v>
      </c>
      <c r="D337" s="171">
        <v>0.70709490740409819</v>
      </c>
      <c r="E337" s="163" t="s">
        <v>28</v>
      </c>
      <c r="F337" s="39" t="s">
        <v>647</v>
      </c>
    </row>
    <row r="338" spans="2:6" x14ac:dyDescent="0.45">
      <c r="B338" s="37">
        <v>456</v>
      </c>
      <c r="C338" s="38">
        <v>42912</v>
      </c>
      <c r="D338" s="171">
        <v>0.48997685185167938</v>
      </c>
      <c r="E338" s="163" t="s">
        <v>28</v>
      </c>
      <c r="F338" s="39" t="s">
        <v>645</v>
      </c>
    </row>
    <row r="339" spans="2:6" x14ac:dyDescent="0.45">
      <c r="B339" s="37">
        <v>455</v>
      </c>
      <c r="C339" s="38">
        <v>42909</v>
      </c>
      <c r="D339" s="171">
        <v>0.74391203703999054</v>
      </c>
      <c r="E339" s="163" t="s">
        <v>28</v>
      </c>
      <c r="F339" s="39" t="s">
        <v>644</v>
      </c>
    </row>
    <row r="340" spans="2:6" x14ac:dyDescent="0.45">
      <c r="B340" s="37">
        <v>454</v>
      </c>
      <c r="C340" s="38">
        <v>42909</v>
      </c>
      <c r="D340" s="171">
        <v>0.56846064814453712</v>
      </c>
      <c r="E340" s="163" t="s">
        <v>28</v>
      </c>
      <c r="F340" s="39" t="s">
        <v>640</v>
      </c>
    </row>
    <row r="341" spans="2:6" x14ac:dyDescent="0.45">
      <c r="B341" s="37">
        <v>453</v>
      </c>
      <c r="C341" s="38">
        <v>42907</v>
      </c>
      <c r="D341" s="171">
        <v>0.54317129629635019</v>
      </c>
      <c r="E341" s="163" t="s">
        <v>28</v>
      </c>
      <c r="F341" s="39" t="s">
        <v>639</v>
      </c>
    </row>
    <row r="342" spans="2:6" x14ac:dyDescent="0.45">
      <c r="B342" s="37">
        <v>452</v>
      </c>
      <c r="C342" s="38">
        <v>42906</v>
      </c>
      <c r="D342" s="171">
        <v>0.6628240740756155</v>
      </c>
      <c r="E342" s="163" t="s">
        <v>28</v>
      </c>
      <c r="F342" s="39" t="s">
        <v>638</v>
      </c>
    </row>
    <row r="343" spans="2:6" x14ac:dyDescent="0.45">
      <c r="B343" s="37">
        <v>451</v>
      </c>
      <c r="C343" s="38">
        <v>42905</v>
      </c>
      <c r="D343" s="171">
        <v>0.70748842592729488</v>
      </c>
      <c r="E343" s="163" t="s">
        <v>28</v>
      </c>
      <c r="F343" s="39" t="s">
        <v>637</v>
      </c>
    </row>
    <row r="344" spans="2:6" x14ac:dyDescent="0.45">
      <c r="B344" s="37">
        <v>450</v>
      </c>
      <c r="C344" s="38">
        <v>42905</v>
      </c>
      <c r="D344" s="171">
        <v>0.51233796296583023</v>
      </c>
      <c r="E344" s="163" t="s">
        <v>28</v>
      </c>
      <c r="F344" s="39" t="s">
        <v>636</v>
      </c>
    </row>
    <row r="345" spans="2:6" x14ac:dyDescent="0.45">
      <c r="B345" s="37">
        <v>449</v>
      </c>
      <c r="C345" s="38">
        <v>42899</v>
      </c>
      <c r="D345" s="171">
        <v>0.63526620370248565</v>
      </c>
      <c r="E345" s="163" t="s">
        <v>28</v>
      </c>
      <c r="F345" s="39" t="s">
        <v>635</v>
      </c>
    </row>
    <row r="346" spans="2:6" x14ac:dyDescent="0.45">
      <c r="B346" s="37">
        <v>448</v>
      </c>
      <c r="C346" s="38">
        <v>42899</v>
      </c>
      <c r="D346" s="171">
        <v>0.54869212963239988</v>
      </c>
      <c r="E346" s="163" t="s">
        <v>28</v>
      </c>
      <c r="F346" s="39" t="s">
        <v>634</v>
      </c>
    </row>
    <row r="347" spans="2:6" x14ac:dyDescent="0.45">
      <c r="B347" s="37">
        <v>447</v>
      </c>
      <c r="C347" s="38">
        <v>42899</v>
      </c>
      <c r="D347" s="171">
        <v>0.45395833333168412</v>
      </c>
      <c r="E347" s="163" t="s">
        <v>28</v>
      </c>
      <c r="F347" s="39" t="s">
        <v>633</v>
      </c>
    </row>
    <row r="348" spans="2:6" x14ac:dyDescent="0.45">
      <c r="B348" s="37">
        <v>446</v>
      </c>
      <c r="C348" s="38">
        <v>42899</v>
      </c>
      <c r="D348" s="171">
        <v>0.42920138889166992</v>
      </c>
      <c r="E348" s="163" t="s">
        <v>28</v>
      </c>
      <c r="F348" s="44" t="s">
        <v>632</v>
      </c>
    </row>
    <row r="349" spans="2:6" ht="28.5" x14ac:dyDescent="0.45">
      <c r="B349" s="37">
        <v>445</v>
      </c>
      <c r="C349" s="38">
        <v>42898</v>
      </c>
      <c r="D349" s="171">
        <v>0.48407407407648861</v>
      </c>
      <c r="E349" s="163" t="s">
        <v>28</v>
      </c>
      <c r="F349" s="39" t="s">
        <v>631</v>
      </c>
    </row>
    <row r="350" spans="2:6" x14ac:dyDescent="0.45">
      <c r="B350" s="37">
        <v>444</v>
      </c>
      <c r="C350" s="38">
        <v>42898</v>
      </c>
      <c r="D350" s="171">
        <v>0.42821759259095415</v>
      </c>
      <c r="E350" s="163" t="s">
        <v>28</v>
      </c>
      <c r="F350" s="39" t="s">
        <v>630</v>
      </c>
    </row>
    <row r="351" spans="2:6" x14ac:dyDescent="0.45">
      <c r="B351" s="37">
        <v>443</v>
      </c>
      <c r="C351" s="38">
        <v>42895</v>
      </c>
      <c r="D351" s="171">
        <v>0.60730324074393138</v>
      </c>
      <c r="E351" s="163" t="s">
        <v>28</v>
      </c>
      <c r="F351" s="44" t="s">
        <v>629</v>
      </c>
    </row>
    <row r="352" spans="2:6" x14ac:dyDescent="0.45">
      <c r="B352" s="37">
        <v>442</v>
      </c>
      <c r="C352" s="38">
        <v>42880</v>
      </c>
      <c r="D352" s="171">
        <v>0.6484375</v>
      </c>
      <c r="E352" s="163" t="s">
        <v>28</v>
      </c>
      <c r="F352" s="44" t="s">
        <v>628</v>
      </c>
    </row>
    <row r="353" spans="2:6" x14ac:dyDescent="0.45">
      <c r="B353" s="37">
        <v>441</v>
      </c>
      <c r="C353" s="38">
        <v>42879</v>
      </c>
      <c r="D353" s="171">
        <v>0.62414351852203254</v>
      </c>
      <c r="E353" s="163" t="s">
        <v>28</v>
      </c>
      <c r="F353" s="44" t="s">
        <v>627</v>
      </c>
    </row>
    <row r="354" spans="2:6" x14ac:dyDescent="0.45">
      <c r="B354" s="37">
        <v>440</v>
      </c>
      <c r="C354" s="38">
        <v>42877</v>
      </c>
      <c r="D354" s="171">
        <v>0.50297453703387873</v>
      </c>
      <c r="E354" s="163" t="s">
        <v>28</v>
      </c>
      <c r="F354" s="44" t="s">
        <v>626</v>
      </c>
    </row>
    <row r="355" spans="2:6" x14ac:dyDescent="0.45">
      <c r="B355" s="37">
        <v>439</v>
      </c>
      <c r="C355" s="38">
        <v>42873</v>
      </c>
      <c r="D355" s="171">
        <v>0.48067129629635019</v>
      </c>
      <c r="E355" s="163" t="s">
        <v>28</v>
      </c>
      <c r="F355" s="39" t="s">
        <v>625</v>
      </c>
    </row>
    <row r="356" spans="2:6" x14ac:dyDescent="0.45">
      <c r="B356" s="37">
        <v>438</v>
      </c>
      <c r="C356" s="38">
        <v>42872</v>
      </c>
      <c r="D356" s="171">
        <v>0.70376157407736173</v>
      </c>
      <c r="E356" s="163" t="s">
        <v>28</v>
      </c>
      <c r="F356" s="39" t="s">
        <v>624</v>
      </c>
    </row>
    <row r="357" spans="2:6" x14ac:dyDescent="0.45">
      <c r="B357" s="37">
        <v>437</v>
      </c>
      <c r="C357" s="38">
        <v>42872</v>
      </c>
      <c r="D357" s="171">
        <v>0.68861111110891216</v>
      </c>
      <c r="E357" s="163" t="s">
        <v>28</v>
      </c>
      <c r="F357" s="39" t="s">
        <v>623</v>
      </c>
    </row>
    <row r="358" spans="2:6" x14ac:dyDescent="0.45">
      <c r="B358" s="37">
        <v>436</v>
      </c>
      <c r="C358" s="38">
        <v>42872</v>
      </c>
      <c r="D358" s="171">
        <v>0.60738425925956108</v>
      </c>
      <c r="E358" s="163" t="s">
        <v>28</v>
      </c>
      <c r="F358" s="44" t="s">
        <v>622</v>
      </c>
    </row>
    <row r="359" spans="2:6" x14ac:dyDescent="0.45">
      <c r="B359" s="37">
        <v>435</v>
      </c>
      <c r="C359" s="38">
        <v>42871</v>
      </c>
      <c r="D359" s="171">
        <v>0.68390046296553919</v>
      </c>
      <c r="E359" s="163" t="s">
        <v>28</v>
      </c>
      <c r="F359" s="39" t="s">
        <v>621</v>
      </c>
    </row>
    <row r="360" spans="2:6" x14ac:dyDescent="0.45">
      <c r="B360" s="37">
        <v>434</v>
      </c>
      <c r="C360" s="38">
        <v>42870</v>
      </c>
      <c r="D360" s="171">
        <v>0.75586805555212777</v>
      </c>
      <c r="E360" s="163" t="s">
        <v>28</v>
      </c>
      <c r="F360" s="44" t="s">
        <v>620</v>
      </c>
    </row>
    <row r="361" spans="2:6" x14ac:dyDescent="0.45">
      <c r="B361" s="37">
        <v>433</v>
      </c>
      <c r="C361" s="38">
        <v>42870</v>
      </c>
      <c r="D361" s="171">
        <v>0.7513078703705105</v>
      </c>
      <c r="E361" s="163" t="s">
        <v>28</v>
      </c>
      <c r="F361" s="39" t="s">
        <v>619</v>
      </c>
    </row>
    <row r="362" spans="2:6" x14ac:dyDescent="0.45">
      <c r="B362" s="37">
        <v>432</v>
      </c>
      <c r="C362" s="38">
        <v>42870</v>
      </c>
      <c r="D362" s="171">
        <v>0.51876157407241408</v>
      </c>
      <c r="E362" s="163" t="s">
        <v>28</v>
      </c>
      <c r="F362" s="39" t="s">
        <v>618</v>
      </c>
    </row>
    <row r="363" spans="2:6" x14ac:dyDescent="0.45">
      <c r="B363" s="37">
        <v>431</v>
      </c>
      <c r="C363" s="38">
        <v>42867</v>
      </c>
      <c r="D363" s="171">
        <v>0.66217592592875008</v>
      </c>
      <c r="E363" s="163" t="s">
        <v>28</v>
      </c>
      <c r="F363" s="39" t="s">
        <v>617</v>
      </c>
    </row>
    <row r="364" spans="2:6" x14ac:dyDescent="0.45">
      <c r="B364" s="37">
        <v>430</v>
      </c>
      <c r="C364" s="38">
        <v>42865</v>
      </c>
      <c r="D364" s="171">
        <v>0.58119212962628808</v>
      </c>
      <c r="E364" s="163" t="s">
        <v>28</v>
      </c>
      <c r="F364" s="39" t="s">
        <v>616</v>
      </c>
    </row>
    <row r="365" spans="2:6" x14ac:dyDescent="0.45">
      <c r="B365" s="37">
        <v>429</v>
      </c>
      <c r="C365" s="38">
        <v>42865</v>
      </c>
      <c r="D365" s="171">
        <v>0.476701388892252</v>
      </c>
      <c r="E365" s="163" t="s">
        <v>28</v>
      </c>
      <c r="F365" s="39" t="s">
        <v>615</v>
      </c>
    </row>
    <row r="366" spans="2:6" ht="28.5" x14ac:dyDescent="0.45">
      <c r="B366" s="37">
        <v>428</v>
      </c>
      <c r="C366" s="38">
        <v>42865</v>
      </c>
      <c r="D366" s="171">
        <v>0.46418981481838273</v>
      </c>
      <c r="E366" s="163" t="s">
        <v>28</v>
      </c>
      <c r="F366" s="44" t="s">
        <v>613</v>
      </c>
    </row>
    <row r="367" spans="2:6" x14ac:dyDescent="0.45">
      <c r="B367" s="37">
        <v>427</v>
      </c>
      <c r="C367" s="38">
        <v>42864</v>
      </c>
      <c r="D367" s="171">
        <v>0.73278935185226146</v>
      </c>
      <c r="E367" s="163" t="s">
        <v>28</v>
      </c>
      <c r="F367" s="39" t="s">
        <v>611</v>
      </c>
    </row>
    <row r="368" spans="2:6" x14ac:dyDescent="0.45">
      <c r="B368" s="37">
        <v>426</v>
      </c>
      <c r="C368" s="38">
        <v>42864</v>
      </c>
      <c r="D368" s="171">
        <v>0.46060185185342561</v>
      </c>
      <c r="E368" s="163" t="s">
        <v>28</v>
      </c>
      <c r="F368" s="39" t="s">
        <v>610</v>
      </c>
    </row>
    <row r="369" spans="2:6" x14ac:dyDescent="0.45">
      <c r="B369" s="37">
        <v>425</v>
      </c>
      <c r="C369" s="38">
        <v>42864</v>
      </c>
      <c r="D369" s="171">
        <v>0.35045138889108784</v>
      </c>
      <c r="E369" s="163" t="s">
        <v>28</v>
      </c>
      <c r="F369" s="44" t="s">
        <v>609</v>
      </c>
    </row>
    <row r="370" spans="2:6" x14ac:dyDescent="0.45">
      <c r="B370" s="37">
        <v>424</v>
      </c>
      <c r="C370" s="38">
        <v>42860</v>
      </c>
      <c r="D370" s="171">
        <v>0.77003472221986158</v>
      </c>
      <c r="E370" s="163" t="s">
        <v>28</v>
      </c>
      <c r="F370" s="39" t="s">
        <v>608</v>
      </c>
    </row>
    <row r="371" spans="2:6" x14ac:dyDescent="0.45">
      <c r="B371" s="37">
        <v>423</v>
      </c>
      <c r="C371" s="38">
        <v>42859</v>
      </c>
      <c r="D371" s="171">
        <v>0.69670138888614019</v>
      </c>
      <c r="E371" s="163" t="s">
        <v>28</v>
      </c>
      <c r="F371" s="39" t="s">
        <v>607</v>
      </c>
    </row>
    <row r="372" spans="2:6" x14ac:dyDescent="0.45">
      <c r="B372" s="37">
        <v>422</v>
      </c>
      <c r="C372" s="38">
        <v>42859</v>
      </c>
      <c r="D372" s="171">
        <v>0.69157407407328719</v>
      </c>
      <c r="E372" s="163" t="s">
        <v>28</v>
      </c>
      <c r="F372" s="39" t="s">
        <v>606</v>
      </c>
    </row>
    <row r="373" spans="2:6" ht="28.5" x14ac:dyDescent="0.45">
      <c r="B373" s="37">
        <v>421</v>
      </c>
      <c r="C373" s="38">
        <v>42859</v>
      </c>
      <c r="D373" s="171">
        <v>0.65798611110949423</v>
      </c>
      <c r="E373" s="163" t="s">
        <v>28</v>
      </c>
      <c r="F373" s="39" t="s">
        <v>605</v>
      </c>
    </row>
    <row r="374" spans="2:6" x14ac:dyDescent="0.45">
      <c r="B374" s="37">
        <v>420</v>
      </c>
      <c r="C374" s="38">
        <v>42859</v>
      </c>
      <c r="D374" s="171">
        <v>0.6484375</v>
      </c>
      <c r="E374" s="163" t="s">
        <v>28</v>
      </c>
      <c r="F374" s="39" t="s">
        <v>604</v>
      </c>
    </row>
    <row r="375" spans="2:6" x14ac:dyDescent="0.45">
      <c r="B375" s="37">
        <v>419</v>
      </c>
      <c r="C375" s="38">
        <v>42859</v>
      </c>
      <c r="D375" s="171">
        <v>0.56633101851912215</v>
      </c>
      <c r="E375" s="163" t="s">
        <v>28</v>
      </c>
      <c r="F375" s="44" t="s">
        <v>603</v>
      </c>
    </row>
    <row r="376" spans="2:6" x14ac:dyDescent="0.45">
      <c r="B376" s="37">
        <v>418</v>
      </c>
      <c r="C376" s="38">
        <v>42859</v>
      </c>
      <c r="D376" s="171">
        <v>0.39607638888992369</v>
      </c>
      <c r="E376" s="163" t="s">
        <v>28</v>
      </c>
      <c r="F376" s="44" t="s">
        <v>602</v>
      </c>
    </row>
    <row r="377" spans="2:6" x14ac:dyDescent="0.45">
      <c r="B377" s="37">
        <v>417</v>
      </c>
      <c r="C377" s="38">
        <v>42849</v>
      </c>
      <c r="D377" s="171">
        <v>0.72056712963239988</v>
      </c>
      <c r="E377" s="163" t="s">
        <v>28</v>
      </c>
      <c r="F377" s="39" t="s">
        <v>601</v>
      </c>
    </row>
    <row r="378" spans="2:6" ht="28.5" x14ac:dyDescent="0.45">
      <c r="B378" s="37">
        <v>416</v>
      </c>
      <c r="C378" s="38">
        <v>42846</v>
      </c>
      <c r="D378" s="171">
        <v>0.69284722222073469</v>
      </c>
      <c r="E378" s="163" t="s">
        <v>28</v>
      </c>
      <c r="F378" s="39" t="s">
        <v>600</v>
      </c>
    </row>
    <row r="379" spans="2:6" x14ac:dyDescent="0.45">
      <c r="B379" s="37">
        <v>415</v>
      </c>
      <c r="C379" s="38">
        <v>42845</v>
      </c>
      <c r="D379" s="171">
        <v>0.7277662037013215</v>
      </c>
      <c r="E379" s="163" t="s">
        <v>28</v>
      </c>
      <c r="F379" s="44" t="s">
        <v>594</v>
      </c>
    </row>
    <row r="380" spans="2:6" x14ac:dyDescent="0.45">
      <c r="B380" s="37">
        <v>414</v>
      </c>
      <c r="C380" s="38">
        <v>42843</v>
      </c>
      <c r="D380" s="171">
        <v>0.67021990740613546</v>
      </c>
      <c r="E380" s="163" t="s">
        <v>588</v>
      </c>
      <c r="F380" s="44" t="s">
        <v>589</v>
      </c>
    </row>
    <row r="381" spans="2:6" x14ac:dyDescent="0.45">
      <c r="B381" s="37">
        <v>413</v>
      </c>
      <c r="C381" s="38">
        <v>42824</v>
      </c>
      <c r="D381" s="171">
        <v>0.41418981481547235</v>
      </c>
      <c r="E381" s="163" t="s">
        <v>28</v>
      </c>
      <c r="F381" s="39" t="s">
        <v>587</v>
      </c>
    </row>
    <row r="382" spans="2:6" x14ac:dyDescent="0.45">
      <c r="B382" s="37">
        <v>412</v>
      </c>
      <c r="C382" s="38">
        <v>42823</v>
      </c>
      <c r="D382" s="171">
        <v>0.72173611111065838</v>
      </c>
      <c r="E382" s="163" t="s">
        <v>28</v>
      </c>
      <c r="F382" s="39" t="s">
        <v>586</v>
      </c>
    </row>
    <row r="383" spans="2:6" x14ac:dyDescent="0.45">
      <c r="B383" s="37">
        <v>411</v>
      </c>
      <c r="C383" s="38">
        <v>42823</v>
      </c>
      <c r="D383" s="171">
        <v>0.66057870370423188</v>
      </c>
      <c r="E383" s="163" t="s">
        <v>28</v>
      </c>
      <c r="F383" s="44" t="s">
        <v>583</v>
      </c>
    </row>
    <row r="384" spans="2:6" x14ac:dyDescent="0.45">
      <c r="B384" s="37">
        <v>410</v>
      </c>
      <c r="C384" s="38">
        <v>42822</v>
      </c>
      <c r="D384" s="171">
        <v>0.41651620370248565</v>
      </c>
      <c r="E384" s="163" t="s">
        <v>28</v>
      </c>
      <c r="F384" s="44" t="s">
        <v>582</v>
      </c>
    </row>
    <row r="385" spans="2:6" x14ac:dyDescent="0.45">
      <c r="B385" s="37">
        <v>409</v>
      </c>
      <c r="C385" s="38">
        <v>42821</v>
      </c>
      <c r="D385" s="171">
        <v>0.67722222222073469</v>
      </c>
      <c r="E385" s="163" t="s">
        <v>28</v>
      </c>
      <c r="F385" s="39" t="s">
        <v>581</v>
      </c>
    </row>
    <row r="386" spans="2:6" x14ac:dyDescent="0.45">
      <c r="B386" s="37">
        <v>408</v>
      </c>
      <c r="C386" s="38">
        <v>42817</v>
      </c>
      <c r="D386" s="171">
        <v>0.70077546295942739</v>
      </c>
      <c r="E386" s="163" t="s">
        <v>28</v>
      </c>
      <c r="F386" s="39" t="s">
        <v>581</v>
      </c>
    </row>
    <row r="387" spans="2:6" x14ac:dyDescent="0.45">
      <c r="B387" s="37">
        <v>407</v>
      </c>
      <c r="C387" s="38">
        <v>42817</v>
      </c>
      <c r="D387" s="171">
        <v>0.41324074073781958</v>
      </c>
      <c r="E387" s="163" t="s">
        <v>28</v>
      </c>
      <c r="F387" s="39" t="s">
        <v>580</v>
      </c>
    </row>
    <row r="388" spans="2:6" x14ac:dyDescent="0.45">
      <c r="B388" s="37">
        <v>406</v>
      </c>
      <c r="C388" s="38">
        <v>42816</v>
      </c>
      <c r="D388" s="171">
        <v>0.63893518518307246</v>
      </c>
      <c r="E388" s="163" t="s">
        <v>28</v>
      </c>
      <c r="F388" s="39" t="s">
        <v>579</v>
      </c>
    </row>
    <row r="389" spans="2:6" x14ac:dyDescent="0.45">
      <c r="B389" s="37">
        <v>405</v>
      </c>
      <c r="C389" s="38">
        <v>42815</v>
      </c>
      <c r="D389" s="171">
        <v>0.50789351851562969</v>
      </c>
      <c r="E389" s="163" t="s">
        <v>28</v>
      </c>
      <c r="F389" s="39" t="s">
        <v>578</v>
      </c>
    </row>
    <row r="390" spans="2:6" x14ac:dyDescent="0.45">
      <c r="B390" s="37">
        <v>404</v>
      </c>
      <c r="C390" s="38">
        <v>42804</v>
      </c>
      <c r="D390" s="171">
        <v>0.53512731481168885</v>
      </c>
      <c r="E390" s="163" t="s">
        <v>28</v>
      </c>
      <c r="F390" s="39" t="s">
        <v>577</v>
      </c>
    </row>
    <row r="391" spans="2:6" ht="28.5" x14ac:dyDescent="0.45">
      <c r="B391" s="37">
        <v>403</v>
      </c>
      <c r="C391" s="38">
        <v>42789</v>
      </c>
      <c r="D391" s="171">
        <v>0.59072916666627862</v>
      </c>
      <c r="E391" s="163" t="s">
        <v>28</v>
      </c>
      <c r="F391" s="44" t="s">
        <v>576</v>
      </c>
    </row>
    <row r="392" spans="2:6" x14ac:dyDescent="0.45">
      <c r="B392" s="37">
        <v>402</v>
      </c>
      <c r="C392" s="38">
        <v>42789</v>
      </c>
      <c r="D392" s="171">
        <v>0.51600694444641704</v>
      </c>
      <c r="E392" s="163" t="s">
        <v>28</v>
      </c>
      <c r="F392" s="44" t="s">
        <v>575</v>
      </c>
    </row>
    <row r="393" spans="2:6" x14ac:dyDescent="0.45">
      <c r="B393" s="37">
        <v>401</v>
      </c>
      <c r="C393" s="38">
        <v>42789</v>
      </c>
      <c r="D393" s="171">
        <v>0.47402777777460869</v>
      </c>
      <c r="E393" s="163" t="s">
        <v>28</v>
      </c>
      <c r="F393" s="39" t="s">
        <v>574</v>
      </c>
    </row>
    <row r="394" spans="2:6" x14ac:dyDescent="0.45">
      <c r="B394" s="37">
        <v>400</v>
      </c>
      <c r="C394" s="38">
        <v>42760</v>
      </c>
      <c r="D394" s="171">
        <v>0.41207175925956108</v>
      </c>
      <c r="E394" s="163" t="s">
        <v>28</v>
      </c>
      <c r="F394" s="39" t="s">
        <v>573</v>
      </c>
    </row>
    <row r="395" spans="2:6" x14ac:dyDescent="0.45">
      <c r="B395" s="37">
        <v>399</v>
      </c>
      <c r="C395" s="38">
        <v>42760</v>
      </c>
      <c r="D395" s="171">
        <v>0.40256944444263354</v>
      </c>
      <c r="E395" s="163" t="s">
        <v>28</v>
      </c>
      <c r="F395" s="39" t="s">
        <v>572</v>
      </c>
    </row>
    <row r="396" spans="2:6" x14ac:dyDescent="0.45">
      <c r="B396" s="37">
        <v>398</v>
      </c>
      <c r="C396" s="38">
        <v>42758</v>
      </c>
      <c r="D396" s="171">
        <v>0.47254629629605915</v>
      </c>
      <c r="E396" s="163" t="s">
        <v>28</v>
      </c>
      <c r="F396" s="39" t="s">
        <v>571</v>
      </c>
    </row>
    <row r="397" spans="2:6" x14ac:dyDescent="0.45">
      <c r="B397" s="37">
        <v>397</v>
      </c>
      <c r="C397" s="38">
        <v>42755</v>
      </c>
      <c r="D397" s="171">
        <v>0.55810185184964212</v>
      </c>
      <c r="E397" s="163" t="s">
        <v>28</v>
      </c>
      <c r="F397" s="39" t="s">
        <v>570</v>
      </c>
    </row>
    <row r="398" spans="2:6" x14ac:dyDescent="0.45">
      <c r="B398" s="37">
        <v>396</v>
      </c>
      <c r="C398" s="38">
        <v>42755</v>
      </c>
      <c r="D398" s="171">
        <v>0.48429398148437031</v>
      </c>
      <c r="E398" s="163" t="s">
        <v>28</v>
      </c>
      <c r="F398" s="39" t="s">
        <v>569</v>
      </c>
    </row>
    <row r="399" spans="2:6" x14ac:dyDescent="0.45">
      <c r="B399" s="37">
        <v>395</v>
      </c>
      <c r="C399" s="38">
        <v>42754</v>
      </c>
      <c r="D399" s="171">
        <v>0.90771990740904585</v>
      </c>
      <c r="E399" s="163" t="s">
        <v>28</v>
      </c>
      <c r="F399" s="44" t="s">
        <v>568</v>
      </c>
    </row>
    <row r="400" spans="2:6" x14ac:dyDescent="0.45">
      <c r="B400" s="37">
        <v>394</v>
      </c>
      <c r="C400" s="38">
        <v>42754</v>
      </c>
      <c r="D400" s="171">
        <v>0.84053240740468027</v>
      </c>
      <c r="E400" s="163" t="s">
        <v>28</v>
      </c>
      <c r="F400" s="39" t="s">
        <v>567</v>
      </c>
    </row>
    <row r="401" spans="2:6" x14ac:dyDescent="0.45">
      <c r="B401" s="37">
        <v>393</v>
      </c>
      <c r="C401" s="38">
        <v>42754</v>
      </c>
      <c r="D401" s="171">
        <v>0.80148148148145992</v>
      </c>
      <c r="E401" s="163" t="s">
        <v>28</v>
      </c>
      <c r="F401" s="39" t="s">
        <v>566</v>
      </c>
    </row>
    <row r="402" spans="2:6" x14ac:dyDescent="0.45">
      <c r="B402" s="37">
        <v>392</v>
      </c>
      <c r="C402" s="38">
        <v>42753</v>
      </c>
      <c r="D402" s="171">
        <v>0.64542824074305827</v>
      </c>
      <c r="E402" s="163" t="s">
        <v>28</v>
      </c>
      <c r="F402" s="39" t="s">
        <v>565</v>
      </c>
    </row>
    <row r="403" spans="2:6" x14ac:dyDescent="0.45">
      <c r="B403" s="37">
        <v>391</v>
      </c>
      <c r="C403" s="38">
        <v>42753</v>
      </c>
      <c r="D403" s="171">
        <v>0.43988425925635966</v>
      </c>
      <c r="E403" s="163" t="s">
        <v>28</v>
      </c>
      <c r="F403" s="39" t="s">
        <v>564</v>
      </c>
    </row>
    <row r="404" spans="2:6" x14ac:dyDescent="0.45">
      <c r="B404" s="37">
        <v>390</v>
      </c>
      <c r="C404" s="38">
        <v>42752</v>
      </c>
      <c r="D404" s="171">
        <v>0.70803240740497131</v>
      </c>
      <c r="E404" s="163" t="s">
        <v>28</v>
      </c>
      <c r="F404" s="44" t="s">
        <v>561</v>
      </c>
    </row>
    <row r="405" spans="2:6" x14ac:dyDescent="0.45">
      <c r="B405" s="37">
        <v>389</v>
      </c>
      <c r="C405" s="38">
        <v>42752</v>
      </c>
      <c r="D405" s="171">
        <v>0.67971064814628335</v>
      </c>
      <c r="E405" s="163" t="s">
        <v>28</v>
      </c>
      <c r="F405" s="39" t="s">
        <v>559</v>
      </c>
    </row>
    <row r="406" spans="2:6" x14ac:dyDescent="0.45">
      <c r="B406" s="37">
        <v>388</v>
      </c>
      <c r="C406" s="38">
        <v>42752</v>
      </c>
      <c r="D406" s="171">
        <v>0.48261574074422242</v>
      </c>
      <c r="E406" s="163" t="s">
        <v>28</v>
      </c>
      <c r="F406" s="39" t="s">
        <v>558</v>
      </c>
    </row>
    <row r="407" spans="2:6" x14ac:dyDescent="0.45">
      <c r="B407" s="37">
        <v>387</v>
      </c>
      <c r="C407" s="38">
        <v>42751</v>
      </c>
      <c r="D407" s="171">
        <v>0.59332175926101627</v>
      </c>
      <c r="E407" s="163" t="s">
        <v>28</v>
      </c>
      <c r="F407" s="39" t="s">
        <v>557</v>
      </c>
    </row>
    <row r="408" spans="2:6" ht="28.5" x14ac:dyDescent="0.45">
      <c r="B408" s="37">
        <v>386</v>
      </c>
      <c r="C408" s="38">
        <v>42751</v>
      </c>
      <c r="D408" s="171">
        <v>0.54921296296379296</v>
      </c>
      <c r="E408" s="163" t="s">
        <v>28</v>
      </c>
      <c r="F408" s="44" t="s">
        <v>556</v>
      </c>
    </row>
    <row r="409" spans="2:6" x14ac:dyDescent="0.45">
      <c r="B409" s="37">
        <v>385</v>
      </c>
      <c r="C409" s="38">
        <v>42751</v>
      </c>
      <c r="D409" s="171">
        <v>0.45313657407677965</v>
      </c>
      <c r="E409" s="163" t="s">
        <v>28</v>
      </c>
      <c r="F409" s="39" t="s">
        <v>555</v>
      </c>
    </row>
    <row r="410" spans="2:6" x14ac:dyDescent="0.45">
      <c r="B410" s="37">
        <v>384</v>
      </c>
      <c r="C410" s="38">
        <v>42751</v>
      </c>
      <c r="D410" s="171">
        <v>0.44701388888643123</v>
      </c>
      <c r="E410" s="163" t="s">
        <v>28</v>
      </c>
      <c r="F410" s="44" t="s">
        <v>554</v>
      </c>
    </row>
    <row r="411" spans="2:6" x14ac:dyDescent="0.45">
      <c r="B411" s="37">
        <v>383</v>
      </c>
      <c r="C411" s="38">
        <v>42750</v>
      </c>
      <c r="D411" s="171">
        <v>0.69136574074218515</v>
      </c>
      <c r="E411" s="163" t="s">
        <v>28</v>
      </c>
      <c r="F411" s="39" t="s">
        <v>552</v>
      </c>
    </row>
    <row r="412" spans="2:6" x14ac:dyDescent="0.45">
      <c r="B412" s="37">
        <v>382</v>
      </c>
      <c r="C412" s="38">
        <v>42750</v>
      </c>
      <c r="D412" s="171">
        <v>0.55283564814453712</v>
      </c>
      <c r="E412" s="163" t="s">
        <v>28</v>
      </c>
      <c r="F412" s="39" t="s">
        <v>551</v>
      </c>
    </row>
    <row r="413" spans="2:6" x14ac:dyDescent="0.45">
      <c r="B413" s="37">
        <v>381</v>
      </c>
      <c r="C413" s="38">
        <v>42750</v>
      </c>
      <c r="D413" s="171">
        <v>0.55129629629664123</v>
      </c>
      <c r="E413" s="163" t="s">
        <v>28</v>
      </c>
      <c r="F413" s="44" t="s">
        <v>550</v>
      </c>
    </row>
    <row r="414" spans="2:6" x14ac:dyDescent="0.45">
      <c r="B414" s="37">
        <v>380</v>
      </c>
      <c r="C414" s="38">
        <v>42750</v>
      </c>
      <c r="D414" s="171">
        <v>0.4753587962986785</v>
      </c>
      <c r="E414" s="163" t="s">
        <v>28</v>
      </c>
      <c r="F414" s="44" t="s">
        <v>549</v>
      </c>
    </row>
    <row r="415" spans="2:6" x14ac:dyDescent="0.45">
      <c r="B415" s="37">
        <v>379</v>
      </c>
      <c r="C415" s="38">
        <v>42748</v>
      </c>
      <c r="D415" s="171">
        <v>0.68582175925985212</v>
      </c>
      <c r="E415" s="163" t="s">
        <v>28</v>
      </c>
      <c r="F415" s="39" t="s">
        <v>548</v>
      </c>
    </row>
    <row r="416" spans="2:6" x14ac:dyDescent="0.45">
      <c r="B416" s="37">
        <v>378</v>
      </c>
      <c r="C416" s="38">
        <v>42748</v>
      </c>
      <c r="D416" s="171">
        <v>0.67040509259095415</v>
      </c>
      <c r="E416" s="163" t="s">
        <v>28</v>
      </c>
      <c r="F416" s="39" t="s">
        <v>547</v>
      </c>
    </row>
    <row r="417" spans="2:6" ht="28.5" x14ac:dyDescent="0.45">
      <c r="B417" s="37">
        <v>377</v>
      </c>
      <c r="C417" s="38">
        <v>42748</v>
      </c>
      <c r="D417" s="171">
        <v>0.65815972222480923</v>
      </c>
      <c r="E417" s="163" t="s">
        <v>28</v>
      </c>
      <c r="F417" s="44" t="s">
        <v>546</v>
      </c>
    </row>
    <row r="418" spans="2:6" x14ac:dyDescent="0.45">
      <c r="B418" s="37">
        <v>376</v>
      </c>
      <c r="C418" s="38">
        <v>42748</v>
      </c>
      <c r="D418" s="171">
        <v>0.54587962962978054</v>
      </c>
      <c r="E418" s="163" t="s">
        <v>28</v>
      </c>
      <c r="F418" s="39" t="s">
        <v>545</v>
      </c>
    </row>
    <row r="419" spans="2:6" ht="28.5" x14ac:dyDescent="0.45">
      <c r="B419" s="37">
        <v>375</v>
      </c>
      <c r="C419" s="38">
        <v>42748</v>
      </c>
      <c r="D419" s="171">
        <v>0.50293981481809169</v>
      </c>
      <c r="E419" s="163" t="s">
        <v>28</v>
      </c>
      <c r="F419" s="44" t="s">
        <v>544</v>
      </c>
    </row>
    <row r="420" spans="2:6" x14ac:dyDescent="0.45">
      <c r="B420" s="37">
        <v>374</v>
      </c>
      <c r="C420" s="38">
        <v>42748</v>
      </c>
      <c r="D420" s="171">
        <v>0.46116898148466134</v>
      </c>
      <c r="E420" s="163" t="s">
        <v>28</v>
      </c>
      <c r="F420" s="39" t="s">
        <v>543</v>
      </c>
    </row>
    <row r="421" spans="2:6" x14ac:dyDescent="0.45">
      <c r="B421" s="37">
        <v>373</v>
      </c>
      <c r="C421" s="38">
        <v>42747</v>
      </c>
      <c r="D421" s="171">
        <v>0.71152777777751908</v>
      </c>
      <c r="E421" s="163" t="s">
        <v>28</v>
      </c>
      <c r="F421" s="39" t="s">
        <v>542</v>
      </c>
    </row>
    <row r="422" spans="2:6" x14ac:dyDescent="0.45">
      <c r="B422" s="37">
        <v>372</v>
      </c>
      <c r="C422" s="38">
        <v>42747</v>
      </c>
      <c r="D422" s="171">
        <v>0.65237268518831115</v>
      </c>
      <c r="E422" s="163" t="s">
        <v>28</v>
      </c>
      <c r="F422" s="44" t="s">
        <v>541</v>
      </c>
    </row>
    <row r="423" spans="2:6" x14ac:dyDescent="0.45">
      <c r="B423" s="37">
        <v>371</v>
      </c>
      <c r="C423" s="38">
        <v>42747</v>
      </c>
      <c r="D423" s="171">
        <v>0.64049768518452765</v>
      </c>
      <c r="E423" s="163" t="s">
        <v>28</v>
      </c>
      <c r="F423" s="39" t="s">
        <v>540</v>
      </c>
    </row>
    <row r="424" spans="2:6" x14ac:dyDescent="0.45">
      <c r="B424" s="37">
        <v>370</v>
      </c>
      <c r="C424" s="38">
        <v>42747</v>
      </c>
      <c r="D424" s="171">
        <v>0.48745370370306773</v>
      </c>
      <c r="E424" s="163" t="s">
        <v>28</v>
      </c>
      <c r="F424" s="39" t="s">
        <v>539</v>
      </c>
    </row>
    <row r="425" spans="2:6" x14ac:dyDescent="0.45">
      <c r="B425" s="37">
        <v>369</v>
      </c>
      <c r="C425" s="38">
        <v>42746</v>
      </c>
      <c r="D425" s="171">
        <v>0.74057870370597811</v>
      </c>
      <c r="E425" s="163" t="s">
        <v>28</v>
      </c>
      <c r="F425" s="39" t="s">
        <v>538</v>
      </c>
    </row>
    <row r="426" spans="2:6" x14ac:dyDescent="0.45">
      <c r="B426" s="37">
        <v>368</v>
      </c>
      <c r="C426" s="38">
        <v>42746</v>
      </c>
      <c r="D426" s="171">
        <v>0.70314814814628335</v>
      </c>
      <c r="E426" s="163" t="s">
        <v>28</v>
      </c>
      <c r="F426" s="39" t="s">
        <v>537</v>
      </c>
    </row>
    <row r="427" spans="2:6" ht="42.75" x14ac:dyDescent="0.45">
      <c r="B427" s="37">
        <v>367</v>
      </c>
      <c r="C427" s="38">
        <v>42746</v>
      </c>
      <c r="D427" s="171">
        <v>0.66773148148058681</v>
      </c>
      <c r="E427" s="163" t="s">
        <v>28</v>
      </c>
      <c r="F427" s="44" t="s">
        <v>535</v>
      </c>
    </row>
    <row r="428" spans="2:6" x14ac:dyDescent="0.45">
      <c r="B428" s="37">
        <v>366</v>
      </c>
      <c r="C428" s="38">
        <v>42746</v>
      </c>
      <c r="D428" s="171">
        <v>0.63716435185051523</v>
      </c>
      <c r="E428" s="163" t="s">
        <v>28</v>
      </c>
      <c r="F428" s="39" t="s">
        <v>534</v>
      </c>
    </row>
    <row r="429" spans="2:6" x14ac:dyDescent="0.45">
      <c r="B429" s="37">
        <v>365</v>
      </c>
      <c r="C429" s="38">
        <v>42746</v>
      </c>
      <c r="D429" s="171">
        <v>0.58725694444729015</v>
      </c>
      <c r="E429" s="163" t="s">
        <v>28</v>
      </c>
      <c r="F429" s="39" t="s">
        <v>533</v>
      </c>
    </row>
    <row r="430" spans="2:6" x14ac:dyDescent="0.45">
      <c r="B430" s="37">
        <v>364</v>
      </c>
      <c r="C430" s="38">
        <v>42746</v>
      </c>
      <c r="D430" s="171">
        <v>0.58313657407416031</v>
      </c>
      <c r="E430" s="163" t="s">
        <v>28</v>
      </c>
      <c r="F430" s="39" t="s">
        <v>531</v>
      </c>
    </row>
    <row r="431" spans="2:6" x14ac:dyDescent="0.45">
      <c r="B431" s="37">
        <v>363</v>
      </c>
      <c r="C431" s="38">
        <v>42746</v>
      </c>
      <c r="D431" s="171">
        <v>0.54835648147854954</v>
      </c>
      <c r="E431" s="163" t="s">
        <v>28</v>
      </c>
      <c r="F431" s="39" t="s">
        <v>531</v>
      </c>
    </row>
    <row r="432" spans="2:6" x14ac:dyDescent="0.45">
      <c r="B432" s="37">
        <v>362</v>
      </c>
      <c r="C432" s="38">
        <v>42746</v>
      </c>
      <c r="D432" s="171">
        <v>0.48740740741050104</v>
      </c>
      <c r="E432" s="163" t="s">
        <v>28</v>
      </c>
      <c r="F432" s="44" t="s">
        <v>530</v>
      </c>
    </row>
    <row r="433" spans="2:6" x14ac:dyDescent="0.45">
      <c r="B433" s="37">
        <v>361</v>
      </c>
      <c r="C433" s="38">
        <v>42745</v>
      </c>
      <c r="D433" s="171">
        <v>0.75744212963036261</v>
      </c>
      <c r="E433" s="163" t="s">
        <v>28</v>
      </c>
      <c r="F433" s="39" t="s">
        <v>527</v>
      </c>
    </row>
    <row r="434" spans="2:6" x14ac:dyDescent="0.45">
      <c r="B434" s="37">
        <v>360</v>
      </c>
      <c r="C434" s="38">
        <v>42745</v>
      </c>
      <c r="D434" s="171">
        <v>0.7174074074064265</v>
      </c>
      <c r="E434" s="163" t="s">
        <v>28</v>
      </c>
      <c r="F434" s="39" t="s">
        <v>526</v>
      </c>
    </row>
    <row r="435" spans="2:6" x14ac:dyDescent="0.45">
      <c r="B435" s="37">
        <v>359</v>
      </c>
      <c r="C435" s="38">
        <v>42745</v>
      </c>
      <c r="D435" s="171">
        <v>0.61481481481314404</v>
      </c>
      <c r="E435" s="163" t="s">
        <v>28</v>
      </c>
      <c r="F435" s="44" t="s">
        <v>525</v>
      </c>
    </row>
    <row r="436" spans="2:6" x14ac:dyDescent="0.45">
      <c r="B436" s="37">
        <v>358</v>
      </c>
      <c r="C436" s="38">
        <v>42745</v>
      </c>
      <c r="D436" s="171">
        <v>0.52083333333575865</v>
      </c>
      <c r="E436" s="163" t="s">
        <v>28</v>
      </c>
      <c r="F436" s="39" t="s">
        <v>524</v>
      </c>
    </row>
    <row r="437" spans="2:6" x14ac:dyDescent="0.45">
      <c r="B437" s="37">
        <v>357</v>
      </c>
      <c r="C437" s="38">
        <v>42745</v>
      </c>
      <c r="D437" s="171">
        <v>0.50682870370656019</v>
      </c>
      <c r="E437" s="163" t="s">
        <v>28</v>
      </c>
      <c r="F437" s="39" t="s">
        <v>523</v>
      </c>
    </row>
    <row r="438" spans="2:6" x14ac:dyDescent="0.45">
      <c r="B438" s="37">
        <v>356</v>
      </c>
      <c r="C438" s="38">
        <v>42745</v>
      </c>
      <c r="D438" s="171">
        <v>0.46582175925868796</v>
      </c>
      <c r="E438" s="163" t="s">
        <v>28</v>
      </c>
      <c r="F438" s="39" t="s">
        <v>522</v>
      </c>
    </row>
    <row r="439" spans="2:6" x14ac:dyDescent="0.45">
      <c r="B439" s="37">
        <v>355</v>
      </c>
      <c r="C439" s="38">
        <v>42745</v>
      </c>
      <c r="D439" s="171">
        <v>0.39355324074131204</v>
      </c>
      <c r="E439" s="163" t="s">
        <v>28</v>
      </c>
      <c r="F439" s="39" t="s">
        <v>521</v>
      </c>
    </row>
    <row r="440" spans="2:6" x14ac:dyDescent="0.45">
      <c r="B440" s="37">
        <v>354</v>
      </c>
      <c r="C440" s="38">
        <v>42744</v>
      </c>
      <c r="D440" s="171">
        <v>0.773402777776937</v>
      </c>
      <c r="E440" s="163" t="s">
        <v>28</v>
      </c>
      <c r="F440" s="39" t="s">
        <v>519</v>
      </c>
    </row>
    <row r="441" spans="2:6" x14ac:dyDescent="0.45">
      <c r="B441" s="37">
        <v>353</v>
      </c>
      <c r="C441" s="38">
        <v>42744</v>
      </c>
      <c r="D441" s="171">
        <v>0.73446759259240935</v>
      </c>
      <c r="E441" s="130" t="s">
        <v>517</v>
      </c>
      <c r="F441" s="39" t="s">
        <v>518</v>
      </c>
    </row>
    <row r="442" spans="2:6" x14ac:dyDescent="0.45">
      <c r="B442" s="37">
        <v>352</v>
      </c>
      <c r="C442" s="38">
        <v>42744</v>
      </c>
      <c r="D442" s="171">
        <v>0.42144675926101627</v>
      </c>
      <c r="E442" s="163" t="s">
        <v>28</v>
      </c>
      <c r="F442" s="39" t="s">
        <v>516</v>
      </c>
    </row>
    <row r="443" spans="2:6" x14ac:dyDescent="0.45">
      <c r="B443" s="37">
        <v>351</v>
      </c>
      <c r="C443" s="38">
        <v>42744</v>
      </c>
      <c r="D443" s="171">
        <v>0.41752314814948477</v>
      </c>
      <c r="E443" s="163" t="s">
        <v>28</v>
      </c>
      <c r="F443" s="44" t="s">
        <v>520</v>
      </c>
    </row>
    <row r="444" spans="2:6" x14ac:dyDescent="0.45">
      <c r="B444" s="37">
        <v>350</v>
      </c>
      <c r="C444" s="38">
        <v>42744</v>
      </c>
      <c r="D444" s="171">
        <v>0.39958333333197515</v>
      </c>
      <c r="E444" s="163" t="s">
        <v>28</v>
      </c>
      <c r="F444" s="39" t="s">
        <v>515</v>
      </c>
    </row>
    <row r="445" spans="2:6" x14ac:dyDescent="0.45">
      <c r="B445" s="37">
        <v>349</v>
      </c>
      <c r="C445" s="38">
        <v>42738</v>
      </c>
      <c r="D445" s="171">
        <v>0.70824074074334931</v>
      </c>
      <c r="E445" s="163" t="s">
        <v>28</v>
      </c>
      <c r="F445" s="39" t="s">
        <v>514</v>
      </c>
    </row>
    <row r="446" spans="2:6" x14ac:dyDescent="0.45">
      <c r="B446" s="37">
        <v>348</v>
      </c>
      <c r="C446" s="38">
        <v>42738</v>
      </c>
      <c r="D446" s="171">
        <v>0.68466435185109731</v>
      </c>
      <c r="E446" s="163" t="s">
        <v>28</v>
      </c>
      <c r="F446" s="39" t="s">
        <v>513</v>
      </c>
    </row>
    <row r="447" spans="2:6" x14ac:dyDescent="0.45">
      <c r="B447" s="37">
        <v>347</v>
      </c>
      <c r="C447" s="38">
        <v>42738</v>
      </c>
      <c r="D447" s="171">
        <v>0.54486111111327773</v>
      </c>
      <c r="E447" s="163" t="s">
        <v>28</v>
      </c>
      <c r="F447" s="39" t="s">
        <v>512</v>
      </c>
    </row>
    <row r="448" spans="2:6" x14ac:dyDescent="0.45">
      <c r="B448" s="37">
        <v>346</v>
      </c>
      <c r="C448" s="38">
        <v>42738</v>
      </c>
      <c r="D448" s="171">
        <v>0.53814814814541023</v>
      </c>
      <c r="E448" s="163" t="s">
        <v>28</v>
      </c>
      <c r="F448" s="39" t="s">
        <v>511</v>
      </c>
    </row>
    <row r="449" spans="2:6" x14ac:dyDescent="0.45">
      <c r="B449" s="37">
        <v>345</v>
      </c>
      <c r="C449" s="38">
        <v>42738</v>
      </c>
      <c r="D449" s="171">
        <v>0.53428240741050104</v>
      </c>
      <c r="E449" s="163" t="s">
        <v>28</v>
      </c>
      <c r="F449" s="44" t="s">
        <v>510</v>
      </c>
    </row>
    <row r="450" spans="2:6" x14ac:dyDescent="0.45">
      <c r="B450" s="37">
        <v>344</v>
      </c>
      <c r="C450" s="38">
        <v>42738</v>
      </c>
      <c r="D450" s="171">
        <v>0.4180902777807205</v>
      </c>
      <c r="E450" s="163" t="s">
        <v>28</v>
      </c>
      <c r="F450" s="39" t="s">
        <v>509</v>
      </c>
    </row>
    <row r="451" spans="2:6" x14ac:dyDescent="0.45">
      <c r="B451" s="37">
        <v>343</v>
      </c>
      <c r="C451" s="38">
        <v>42737</v>
      </c>
      <c r="D451" s="171">
        <v>0.83914351851854008</v>
      </c>
      <c r="E451" s="163" t="s">
        <v>28</v>
      </c>
      <c r="F451" s="39" t="s">
        <v>508</v>
      </c>
    </row>
    <row r="452" spans="2:6" x14ac:dyDescent="0.45">
      <c r="B452" s="37">
        <v>342</v>
      </c>
      <c r="C452" s="38">
        <v>42737</v>
      </c>
      <c r="D452" s="171">
        <v>0.81835648148262408</v>
      </c>
      <c r="E452" s="163" t="s">
        <v>28</v>
      </c>
      <c r="F452" s="39" t="s">
        <v>507</v>
      </c>
    </row>
    <row r="453" spans="2:6" x14ac:dyDescent="0.45">
      <c r="B453" s="37">
        <v>341</v>
      </c>
      <c r="C453" s="38">
        <v>42737</v>
      </c>
      <c r="D453" s="171">
        <v>0.81476851851766696</v>
      </c>
      <c r="E453" s="163" t="s">
        <v>28</v>
      </c>
      <c r="F453" s="44" t="s">
        <v>506</v>
      </c>
    </row>
    <row r="454" spans="2:6" x14ac:dyDescent="0.45">
      <c r="B454" s="37">
        <v>340</v>
      </c>
      <c r="C454" s="38">
        <v>42737</v>
      </c>
      <c r="D454" s="171">
        <v>0.7696180555576575</v>
      </c>
      <c r="E454" s="163" t="s">
        <v>28</v>
      </c>
      <c r="F454" s="39" t="s">
        <v>505</v>
      </c>
    </row>
    <row r="455" spans="2:6" x14ac:dyDescent="0.45">
      <c r="B455" s="37">
        <v>339</v>
      </c>
      <c r="C455" s="38">
        <v>42736</v>
      </c>
      <c r="D455" s="171">
        <v>0.39831018518452765</v>
      </c>
      <c r="E455" s="163" t="s">
        <v>28</v>
      </c>
      <c r="F455" s="44" t="s">
        <v>504</v>
      </c>
    </row>
    <row r="456" spans="2:6" x14ac:dyDescent="0.45">
      <c r="B456" s="37">
        <v>338</v>
      </c>
      <c r="C456" s="38">
        <v>42736</v>
      </c>
      <c r="D456" s="171">
        <v>0.3841203703705105</v>
      </c>
      <c r="E456" s="163" t="s">
        <v>28</v>
      </c>
      <c r="F456" s="39" t="s">
        <v>503</v>
      </c>
    </row>
    <row r="457" spans="2:6" x14ac:dyDescent="0.45">
      <c r="B457" s="37">
        <v>337</v>
      </c>
      <c r="C457" s="38">
        <v>42735</v>
      </c>
      <c r="D457" s="171">
        <v>0.78724537036760012</v>
      </c>
      <c r="E457" s="163" t="s">
        <v>28</v>
      </c>
      <c r="F457" s="39" t="s">
        <v>496</v>
      </c>
    </row>
    <row r="458" spans="2:6" ht="28.5" x14ac:dyDescent="0.45">
      <c r="B458" s="37">
        <v>336</v>
      </c>
      <c r="C458" s="38">
        <v>42735</v>
      </c>
      <c r="D458" s="171">
        <v>0.74715277777431766</v>
      </c>
      <c r="E458" s="163" t="s">
        <v>28</v>
      </c>
      <c r="F458" s="39" t="s">
        <v>494</v>
      </c>
    </row>
    <row r="459" spans="2:6" x14ac:dyDescent="0.45">
      <c r="B459" s="37">
        <v>335</v>
      </c>
      <c r="C459" s="38">
        <v>42735</v>
      </c>
      <c r="D459" s="171">
        <v>0.73640046296350192</v>
      </c>
      <c r="E459" s="163" t="s">
        <v>28</v>
      </c>
      <c r="F459" s="39" t="s">
        <v>491</v>
      </c>
    </row>
    <row r="460" spans="2:6" x14ac:dyDescent="0.45">
      <c r="B460" s="37">
        <v>334</v>
      </c>
      <c r="C460" s="38">
        <v>42734</v>
      </c>
      <c r="D460" s="171">
        <v>0.5325578703705105</v>
      </c>
      <c r="E460" s="163" t="s">
        <v>28</v>
      </c>
      <c r="F460" s="39" t="s">
        <v>490</v>
      </c>
    </row>
    <row r="461" spans="2:6" x14ac:dyDescent="0.45">
      <c r="B461" s="37">
        <v>333</v>
      </c>
      <c r="C461" s="38">
        <v>42730</v>
      </c>
      <c r="D461" s="171">
        <v>0.84854166666627862</v>
      </c>
      <c r="E461" s="163" t="s">
        <v>28</v>
      </c>
      <c r="F461" s="39" t="s">
        <v>489</v>
      </c>
    </row>
    <row r="462" spans="2:6" x14ac:dyDescent="0.45">
      <c r="B462" s="37">
        <v>332</v>
      </c>
      <c r="C462" s="38">
        <v>42730</v>
      </c>
      <c r="D462" s="171">
        <v>0.43378472221957054</v>
      </c>
      <c r="E462" s="163" t="s">
        <v>28</v>
      </c>
      <c r="F462" s="39" t="s">
        <v>488</v>
      </c>
    </row>
    <row r="463" spans="2:6" x14ac:dyDescent="0.45">
      <c r="B463" s="37">
        <v>331</v>
      </c>
      <c r="C463" s="38">
        <v>42728</v>
      </c>
      <c r="D463" s="171">
        <v>0.81013888888992369</v>
      </c>
      <c r="E463" s="163" t="s">
        <v>28</v>
      </c>
      <c r="F463" s="39" t="s">
        <v>481</v>
      </c>
    </row>
    <row r="464" spans="2:6" x14ac:dyDescent="0.45">
      <c r="B464" s="37">
        <v>330</v>
      </c>
      <c r="C464" s="38">
        <v>42728</v>
      </c>
      <c r="D464" s="171">
        <v>0.62229166666656965</v>
      </c>
      <c r="E464" s="163" t="s">
        <v>28</v>
      </c>
      <c r="F464" s="39" t="s">
        <v>478</v>
      </c>
    </row>
    <row r="465" spans="2:6" ht="28.5" x14ac:dyDescent="0.45">
      <c r="B465" s="37">
        <v>329</v>
      </c>
      <c r="C465" s="38">
        <v>42727</v>
      </c>
      <c r="D465" s="171">
        <v>0.64039351851533866</v>
      </c>
      <c r="E465" s="163" t="s">
        <v>28</v>
      </c>
      <c r="F465" s="44" t="s">
        <v>487</v>
      </c>
    </row>
    <row r="466" spans="2:6" x14ac:dyDescent="0.45">
      <c r="B466" s="37">
        <v>328</v>
      </c>
      <c r="C466" s="38">
        <v>42727</v>
      </c>
      <c r="D466" s="171">
        <v>0.55681712963269092</v>
      </c>
      <c r="E466" s="163" t="s">
        <v>28</v>
      </c>
      <c r="F466" s="44" t="s">
        <v>477</v>
      </c>
    </row>
    <row r="467" spans="2:6" x14ac:dyDescent="0.45">
      <c r="B467" s="37">
        <v>327</v>
      </c>
      <c r="C467" s="38">
        <v>42727</v>
      </c>
      <c r="D467" s="171">
        <v>0.47715277777751908</v>
      </c>
      <c r="E467" s="163" t="s">
        <v>28</v>
      </c>
      <c r="F467" s="39" t="s">
        <v>476</v>
      </c>
    </row>
    <row r="468" spans="2:6" x14ac:dyDescent="0.45">
      <c r="B468" s="37">
        <v>326</v>
      </c>
      <c r="C468" s="38">
        <v>42727</v>
      </c>
      <c r="D468" s="171">
        <v>0.42819444444467081</v>
      </c>
      <c r="E468" s="163" t="s">
        <v>28</v>
      </c>
      <c r="F468" s="44" t="s">
        <v>475</v>
      </c>
    </row>
    <row r="469" spans="2:6" x14ac:dyDescent="0.45">
      <c r="B469" s="37">
        <v>325</v>
      </c>
      <c r="C469" s="38">
        <v>42726</v>
      </c>
      <c r="D469" s="171">
        <v>0.85395833333313931</v>
      </c>
      <c r="E469" s="163" t="s">
        <v>28</v>
      </c>
      <c r="F469" s="44" t="s">
        <v>474</v>
      </c>
    </row>
    <row r="470" spans="2:6" ht="28.5" x14ac:dyDescent="0.45">
      <c r="B470" s="37">
        <v>324</v>
      </c>
      <c r="C470" s="38">
        <v>42726</v>
      </c>
      <c r="D470" s="171">
        <v>0.75364583333430346</v>
      </c>
      <c r="E470" s="163" t="s">
        <v>28</v>
      </c>
      <c r="F470" s="44" t="s">
        <v>473</v>
      </c>
    </row>
    <row r="471" spans="2:6" x14ac:dyDescent="0.45">
      <c r="B471" s="37">
        <v>323</v>
      </c>
      <c r="C471" s="38">
        <v>42726</v>
      </c>
      <c r="D471" s="171">
        <v>0.56712962962774327</v>
      </c>
      <c r="E471" s="163" t="s">
        <v>28</v>
      </c>
      <c r="F471" s="39" t="s">
        <v>472</v>
      </c>
    </row>
    <row r="472" spans="2:6" x14ac:dyDescent="0.45">
      <c r="B472" s="37">
        <v>322</v>
      </c>
      <c r="C472" s="38">
        <v>42726</v>
      </c>
      <c r="D472" s="171">
        <v>0.51053240741021</v>
      </c>
      <c r="E472" s="163" t="s">
        <v>28</v>
      </c>
      <c r="F472" s="39" t="s">
        <v>471</v>
      </c>
    </row>
    <row r="473" spans="2:6" x14ac:dyDescent="0.45">
      <c r="B473" s="37">
        <v>321</v>
      </c>
      <c r="C473" s="38">
        <v>42726</v>
      </c>
      <c r="D473" s="171">
        <v>0.497488425928168</v>
      </c>
      <c r="E473" s="163" t="s">
        <v>28</v>
      </c>
      <c r="F473" s="44" t="s">
        <v>470</v>
      </c>
    </row>
    <row r="474" spans="2:6" x14ac:dyDescent="0.45">
      <c r="B474" s="37">
        <v>320</v>
      </c>
      <c r="C474" s="38">
        <v>42726</v>
      </c>
      <c r="D474" s="171">
        <v>0.47208333333401242</v>
      </c>
      <c r="E474" s="163" t="s">
        <v>28</v>
      </c>
      <c r="F474" s="44" t="s">
        <v>469</v>
      </c>
    </row>
    <row r="475" spans="2:6" x14ac:dyDescent="0.45">
      <c r="B475" s="37">
        <v>319</v>
      </c>
      <c r="C475" s="38">
        <v>42725</v>
      </c>
      <c r="D475" s="171">
        <v>0.77418981481605442</v>
      </c>
      <c r="E475" s="163" t="s">
        <v>28</v>
      </c>
      <c r="F475" s="44" t="s">
        <v>468</v>
      </c>
    </row>
    <row r="476" spans="2:6" x14ac:dyDescent="0.45">
      <c r="B476" s="37">
        <v>318</v>
      </c>
      <c r="C476" s="38">
        <v>42723</v>
      </c>
      <c r="D476" s="171">
        <v>0.51303240740526235</v>
      </c>
      <c r="E476" s="163" t="s">
        <v>28</v>
      </c>
      <c r="F476" s="39" t="s">
        <v>467</v>
      </c>
    </row>
    <row r="477" spans="2:6" x14ac:dyDescent="0.45">
      <c r="B477" s="37">
        <v>317</v>
      </c>
      <c r="C477" s="38">
        <v>42722</v>
      </c>
      <c r="D477" s="171">
        <v>0.81251157407677965</v>
      </c>
      <c r="E477" s="163" t="s">
        <v>28</v>
      </c>
      <c r="F477" s="39" t="s">
        <v>466</v>
      </c>
    </row>
    <row r="478" spans="2:6" x14ac:dyDescent="0.45">
      <c r="B478" s="37">
        <v>316</v>
      </c>
      <c r="C478" s="38">
        <v>42720</v>
      </c>
      <c r="D478" s="171">
        <v>0.8425115740756155</v>
      </c>
      <c r="E478" s="163" t="s">
        <v>28</v>
      </c>
      <c r="F478" s="39" t="s">
        <v>465</v>
      </c>
    </row>
    <row r="479" spans="2:6" ht="28.5" x14ac:dyDescent="0.45">
      <c r="B479" s="37">
        <v>315</v>
      </c>
      <c r="C479" s="38">
        <v>42719</v>
      </c>
      <c r="D479" s="171">
        <v>0.33776620370190358</v>
      </c>
      <c r="E479" s="163" t="s">
        <v>28</v>
      </c>
      <c r="F479" s="44" t="s">
        <v>464</v>
      </c>
    </row>
    <row r="480" spans="2:6" ht="28.5" x14ac:dyDescent="0.45">
      <c r="B480" s="37">
        <v>314</v>
      </c>
      <c r="C480" s="38">
        <v>42717</v>
      </c>
      <c r="D480" s="171">
        <v>0.67045138889079681</v>
      </c>
      <c r="E480" s="163" t="s">
        <v>28</v>
      </c>
      <c r="F480" s="39" t="s">
        <v>463</v>
      </c>
    </row>
    <row r="481" spans="2:6" x14ac:dyDescent="0.45">
      <c r="B481" s="37">
        <v>313</v>
      </c>
      <c r="C481" s="38">
        <v>42717</v>
      </c>
      <c r="D481" s="171">
        <v>0.61524305555212777</v>
      </c>
      <c r="E481" s="163" t="s">
        <v>28</v>
      </c>
      <c r="F481" s="39" t="s">
        <v>462</v>
      </c>
    </row>
    <row r="482" spans="2:6" x14ac:dyDescent="0.45">
      <c r="B482" s="37">
        <v>312</v>
      </c>
      <c r="C482" s="38">
        <v>42716</v>
      </c>
      <c r="D482" s="171">
        <v>0.69600694444670808</v>
      </c>
      <c r="E482" s="163" t="s">
        <v>28</v>
      </c>
      <c r="F482" s="39" t="s">
        <v>461</v>
      </c>
    </row>
    <row r="483" spans="2:6" x14ac:dyDescent="0.45">
      <c r="B483" s="37">
        <v>311</v>
      </c>
      <c r="C483" s="38">
        <v>42713</v>
      </c>
      <c r="D483" s="171">
        <v>0.5690393518525525</v>
      </c>
      <c r="E483" s="163" t="s">
        <v>28</v>
      </c>
      <c r="F483" s="39" t="s">
        <v>460</v>
      </c>
    </row>
    <row r="484" spans="2:6" x14ac:dyDescent="0.45">
      <c r="B484" s="37">
        <v>310</v>
      </c>
      <c r="C484" s="38">
        <v>42712</v>
      </c>
      <c r="D484" s="171">
        <v>0.42946759259211831</v>
      </c>
      <c r="E484" s="163" t="s">
        <v>28</v>
      </c>
      <c r="F484" s="39" t="s">
        <v>459</v>
      </c>
    </row>
    <row r="485" spans="2:6" x14ac:dyDescent="0.45">
      <c r="B485" s="37">
        <v>309</v>
      </c>
      <c r="C485" s="38">
        <v>42706</v>
      </c>
      <c r="D485" s="171">
        <v>0.66068287037342088</v>
      </c>
      <c r="E485" s="163" t="s">
        <v>28</v>
      </c>
      <c r="F485" s="44" t="s">
        <v>458</v>
      </c>
    </row>
    <row r="486" spans="2:6" x14ac:dyDescent="0.45">
      <c r="B486" s="37">
        <v>308</v>
      </c>
      <c r="C486" s="38">
        <v>42706</v>
      </c>
      <c r="D486" s="171">
        <v>0.59211805555241881</v>
      </c>
      <c r="E486" s="163" t="s">
        <v>28</v>
      </c>
      <c r="F486" s="39" t="s">
        <v>457</v>
      </c>
    </row>
    <row r="487" spans="2:6" x14ac:dyDescent="0.45">
      <c r="B487" s="37">
        <v>307</v>
      </c>
      <c r="C487" s="38">
        <v>42706</v>
      </c>
      <c r="D487" s="171">
        <v>0.52158564814453712</v>
      </c>
      <c r="E487" s="163" t="s">
        <v>28</v>
      </c>
      <c r="F487" s="39" t="s">
        <v>456</v>
      </c>
    </row>
    <row r="488" spans="2:6" x14ac:dyDescent="0.45">
      <c r="B488" s="37">
        <v>306</v>
      </c>
      <c r="C488" s="38">
        <v>42705</v>
      </c>
      <c r="D488" s="171">
        <v>0.40880787037167465</v>
      </c>
      <c r="E488" s="163" t="s">
        <v>28</v>
      </c>
      <c r="F488" s="44" t="s">
        <v>454</v>
      </c>
    </row>
    <row r="489" spans="2:6" x14ac:dyDescent="0.45">
      <c r="B489" s="37">
        <v>305</v>
      </c>
      <c r="C489" s="38">
        <v>42704</v>
      </c>
      <c r="D489" s="171">
        <v>0.75324074074160308</v>
      </c>
      <c r="E489" s="163" t="s">
        <v>28</v>
      </c>
      <c r="F489" s="44" t="s">
        <v>453</v>
      </c>
    </row>
    <row r="490" spans="2:6" x14ac:dyDescent="0.45">
      <c r="B490" s="37">
        <v>304</v>
      </c>
      <c r="C490" s="38">
        <v>42704</v>
      </c>
      <c r="D490" s="171">
        <v>0.53337962963269092</v>
      </c>
      <c r="E490" s="163" t="s">
        <v>28</v>
      </c>
      <c r="F490" s="39" t="s">
        <v>452</v>
      </c>
    </row>
    <row r="491" spans="2:6" x14ac:dyDescent="0.45">
      <c r="B491" s="37">
        <v>303</v>
      </c>
      <c r="C491" s="38">
        <v>42704</v>
      </c>
      <c r="D491" s="171">
        <v>0.41740740741079208</v>
      </c>
      <c r="E491" s="163" t="s">
        <v>28</v>
      </c>
      <c r="F491" s="39" t="s">
        <v>451</v>
      </c>
    </row>
    <row r="492" spans="2:6" x14ac:dyDescent="0.45">
      <c r="B492" s="37">
        <v>302</v>
      </c>
      <c r="C492" s="38">
        <v>42703</v>
      </c>
      <c r="D492" s="171">
        <v>0.679618055553874</v>
      </c>
      <c r="E492" s="163" t="s">
        <v>28</v>
      </c>
      <c r="F492" s="44" t="s">
        <v>450</v>
      </c>
    </row>
    <row r="493" spans="2:6" x14ac:dyDescent="0.45">
      <c r="B493" s="37">
        <v>301</v>
      </c>
      <c r="C493" s="38">
        <v>42703</v>
      </c>
      <c r="D493" s="171">
        <v>0.44399305555270985</v>
      </c>
      <c r="E493" s="163" t="s">
        <v>28</v>
      </c>
      <c r="F493" s="39" t="s">
        <v>449</v>
      </c>
    </row>
    <row r="494" spans="2:6" x14ac:dyDescent="0.45">
      <c r="B494" s="37">
        <v>300</v>
      </c>
      <c r="C494" s="38">
        <v>42702</v>
      </c>
      <c r="D494" s="171">
        <v>0.66637731481750961</v>
      </c>
      <c r="E494" s="163" t="s">
        <v>28</v>
      </c>
      <c r="F494" s="39" t="s">
        <v>448</v>
      </c>
    </row>
    <row r="495" spans="2:6" ht="30" x14ac:dyDescent="0.45">
      <c r="B495" s="37">
        <v>299</v>
      </c>
      <c r="C495" s="38">
        <v>42702</v>
      </c>
      <c r="D495" s="171">
        <v>0.63373842592409346</v>
      </c>
      <c r="E495" s="163" t="s">
        <v>28</v>
      </c>
      <c r="F495" s="44" t="s">
        <v>447</v>
      </c>
    </row>
    <row r="496" spans="2:6" x14ac:dyDescent="0.45">
      <c r="B496" s="37">
        <v>298</v>
      </c>
      <c r="C496" s="38">
        <v>42702</v>
      </c>
      <c r="D496" s="171">
        <v>0.463587962964084</v>
      </c>
      <c r="E496" s="163" t="s">
        <v>28</v>
      </c>
      <c r="F496" s="39" t="s">
        <v>446</v>
      </c>
    </row>
    <row r="497" spans="2:6" x14ac:dyDescent="0.45">
      <c r="B497" s="37">
        <v>297</v>
      </c>
      <c r="C497" s="38">
        <v>42699</v>
      </c>
      <c r="D497" s="171">
        <v>0.71721064814482816</v>
      </c>
      <c r="E497" s="163" t="s">
        <v>28</v>
      </c>
      <c r="F497" s="39" t="s">
        <v>445</v>
      </c>
    </row>
    <row r="498" spans="2:6" x14ac:dyDescent="0.45">
      <c r="B498" s="37">
        <v>296</v>
      </c>
      <c r="C498" s="38">
        <v>42699</v>
      </c>
      <c r="D498" s="171">
        <v>0.50709490740700858</v>
      </c>
      <c r="E498" s="163" t="s">
        <v>28</v>
      </c>
      <c r="F498" s="39" t="s">
        <v>444</v>
      </c>
    </row>
    <row r="499" spans="2:6" x14ac:dyDescent="0.45">
      <c r="B499" s="37">
        <v>295</v>
      </c>
      <c r="C499" s="38">
        <v>42689</v>
      </c>
      <c r="D499" s="171">
        <v>0.49526620370306773</v>
      </c>
      <c r="E499" s="163" t="s">
        <v>28</v>
      </c>
      <c r="F499" s="39" t="s">
        <v>443</v>
      </c>
    </row>
    <row r="500" spans="2:6" x14ac:dyDescent="0.45">
      <c r="B500" s="37">
        <v>294</v>
      </c>
      <c r="C500" s="38">
        <v>42689</v>
      </c>
      <c r="D500" s="171">
        <v>0.49127314814541023</v>
      </c>
      <c r="E500" s="163" t="s">
        <v>28</v>
      </c>
      <c r="F500" s="39" t="s">
        <v>442</v>
      </c>
    </row>
    <row r="501" spans="2:6" x14ac:dyDescent="0.45">
      <c r="B501" s="37">
        <v>293</v>
      </c>
      <c r="C501" s="38">
        <v>42684</v>
      </c>
      <c r="D501" s="171">
        <v>0.56142361111415084</v>
      </c>
      <c r="E501" s="163" t="s">
        <v>28</v>
      </c>
      <c r="F501" s="39" t="s">
        <v>441</v>
      </c>
    </row>
    <row r="502" spans="2:6" ht="28.5" x14ac:dyDescent="0.45">
      <c r="B502" s="37">
        <v>292</v>
      </c>
      <c r="C502" s="38">
        <v>42683</v>
      </c>
      <c r="D502" s="171">
        <v>0.42542824074189411</v>
      </c>
      <c r="E502" s="163" t="s">
        <v>28</v>
      </c>
      <c r="F502" s="44" t="s">
        <v>437</v>
      </c>
    </row>
    <row r="503" spans="2:6" x14ac:dyDescent="0.45">
      <c r="B503" s="37">
        <v>291</v>
      </c>
      <c r="C503" s="38">
        <v>42682</v>
      </c>
      <c r="D503" s="171">
        <v>0.50557870370539604</v>
      </c>
      <c r="E503" s="163" t="s">
        <v>28</v>
      </c>
      <c r="F503" s="39" t="s">
        <v>436</v>
      </c>
    </row>
    <row r="504" spans="2:6" x14ac:dyDescent="0.45">
      <c r="B504" s="37">
        <v>290</v>
      </c>
      <c r="C504" s="38">
        <v>42682</v>
      </c>
      <c r="D504" s="171">
        <v>0.47209490741079208</v>
      </c>
      <c r="E504" s="163" t="s">
        <v>28</v>
      </c>
      <c r="F504" s="39" t="s">
        <v>435</v>
      </c>
    </row>
    <row r="505" spans="2:6" x14ac:dyDescent="0.45">
      <c r="B505" s="37">
        <v>289</v>
      </c>
      <c r="C505" s="38">
        <v>42682</v>
      </c>
      <c r="D505" s="171">
        <v>0.43780092592351139</v>
      </c>
      <c r="E505" s="163" t="s">
        <v>28</v>
      </c>
      <c r="F505" s="44" t="s">
        <v>434</v>
      </c>
    </row>
    <row r="506" spans="2:6" x14ac:dyDescent="0.45">
      <c r="B506" s="37">
        <v>288</v>
      </c>
      <c r="C506" s="38">
        <v>42682</v>
      </c>
      <c r="D506" s="171">
        <v>0.41682870370277669</v>
      </c>
      <c r="E506" s="163" t="s">
        <v>28</v>
      </c>
      <c r="F506" s="44" t="s">
        <v>433</v>
      </c>
    </row>
    <row r="507" spans="2:6" x14ac:dyDescent="0.45">
      <c r="B507" s="37">
        <v>287</v>
      </c>
      <c r="C507" s="38">
        <v>42678</v>
      </c>
      <c r="D507" s="171">
        <v>0.60747685185197042</v>
      </c>
      <c r="E507" s="163" t="s">
        <v>28</v>
      </c>
      <c r="F507" s="39" t="s">
        <v>432</v>
      </c>
    </row>
    <row r="508" spans="2:6" x14ac:dyDescent="0.45">
      <c r="B508" s="37">
        <v>286</v>
      </c>
      <c r="C508" s="38">
        <v>42678</v>
      </c>
      <c r="D508" s="171">
        <v>0.57497685185080627</v>
      </c>
      <c r="E508" s="163" t="s">
        <v>28</v>
      </c>
      <c r="F508" s="39" t="s">
        <v>431</v>
      </c>
    </row>
    <row r="509" spans="2:6" x14ac:dyDescent="0.45">
      <c r="B509" s="37">
        <v>285</v>
      </c>
      <c r="C509" s="38">
        <v>42675</v>
      </c>
      <c r="D509" s="171">
        <v>0.55218749999767169</v>
      </c>
      <c r="E509" s="163" t="s">
        <v>28</v>
      </c>
      <c r="F509" s="39" t="s">
        <v>430</v>
      </c>
    </row>
    <row r="510" spans="2:6" x14ac:dyDescent="0.45">
      <c r="B510" s="37">
        <v>284</v>
      </c>
      <c r="C510" s="38">
        <v>42653</v>
      </c>
      <c r="D510" s="171">
        <v>0.49049768518307246</v>
      </c>
      <c r="E510" s="163" t="s">
        <v>28</v>
      </c>
      <c r="F510" s="39" t="s">
        <v>429</v>
      </c>
    </row>
    <row r="511" spans="2:6" x14ac:dyDescent="0.45">
      <c r="B511" s="37">
        <v>283</v>
      </c>
      <c r="C511" s="38">
        <v>42650</v>
      </c>
      <c r="D511" s="171">
        <v>0.51847222222568234</v>
      </c>
      <c r="E511" s="163" t="s">
        <v>28</v>
      </c>
      <c r="F511" s="39" t="s">
        <v>428</v>
      </c>
    </row>
    <row r="512" spans="2:6" x14ac:dyDescent="0.45">
      <c r="B512" s="37">
        <v>282</v>
      </c>
      <c r="C512" s="38">
        <v>42632</v>
      </c>
      <c r="D512" s="171">
        <v>0.57354166666482342</v>
      </c>
      <c r="E512" s="163" t="s">
        <v>28</v>
      </c>
      <c r="F512" s="44" t="s">
        <v>427</v>
      </c>
    </row>
    <row r="513" spans="2:6" x14ac:dyDescent="0.45">
      <c r="B513" s="37">
        <v>281</v>
      </c>
      <c r="C513" s="38">
        <v>42628</v>
      </c>
      <c r="D513" s="171">
        <v>0.67550925925752381</v>
      </c>
      <c r="E513" s="163" t="s">
        <v>28</v>
      </c>
      <c r="F513" s="39" t="s">
        <v>426</v>
      </c>
    </row>
    <row r="514" spans="2:6" x14ac:dyDescent="0.45">
      <c r="B514" s="37">
        <v>280</v>
      </c>
      <c r="C514" s="38">
        <v>42628</v>
      </c>
      <c r="D514" s="171">
        <v>0.66631944444088731</v>
      </c>
      <c r="E514" s="163" t="s">
        <v>28</v>
      </c>
      <c r="F514" s="39" t="s">
        <v>425</v>
      </c>
    </row>
    <row r="515" spans="2:6" x14ac:dyDescent="0.45">
      <c r="B515" s="37">
        <v>279</v>
      </c>
      <c r="C515" s="38">
        <v>42627</v>
      </c>
      <c r="D515" s="171">
        <v>0.37438657407619758</v>
      </c>
      <c r="E515" s="163" t="s">
        <v>28</v>
      </c>
      <c r="F515" s="39" t="s">
        <v>424</v>
      </c>
    </row>
    <row r="516" spans="2:6" x14ac:dyDescent="0.45">
      <c r="B516" s="37">
        <v>278</v>
      </c>
      <c r="C516" s="38">
        <v>42622</v>
      </c>
      <c r="D516" s="171">
        <v>0.49848379629838746</v>
      </c>
      <c r="E516" s="163" t="s">
        <v>28</v>
      </c>
      <c r="F516" s="39" t="s">
        <v>423</v>
      </c>
    </row>
    <row r="517" spans="2:6" x14ac:dyDescent="0.45">
      <c r="B517" s="37">
        <v>277</v>
      </c>
      <c r="C517" s="38">
        <v>42579</v>
      </c>
      <c r="D517" s="171">
        <v>0.76113425925723277</v>
      </c>
      <c r="E517" s="163" t="s">
        <v>28</v>
      </c>
      <c r="F517" s="39" t="s">
        <v>422</v>
      </c>
    </row>
    <row r="518" spans="2:6" x14ac:dyDescent="0.45">
      <c r="B518" s="37">
        <v>276</v>
      </c>
      <c r="C518" s="38">
        <v>42579</v>
      </c>
      <c r="D518" s="171">
        <v>0.52844907407416031</v>
      </c>
      <c r="E518" s="163" t="s">
        <v>28</v>
      </c>
      <c r="F518" s="39" t="s">
        <v>402</v>
      </c>
    </row>
    <row r="519" spans="2:6" x14ac:dyDescent="0.45">
      <c r="B519" s="37">
        <v>275</v>
      </c>
      <c r="C519" s="38">
        <v>42577</v>
      </c>
      <c r="D519" s="171">
        <v>0.67718749999767169</v>
      </c>
      <c r="E519" s="163" t="s">
        <v>28</v>
      </c>
      <c r="F519" s="39" t="s">
        <v>400</v>
      </c>
    </row>
    <row r="520" spans="2:6" x14ac:dyDescent="0.45">
      <c r="B520" s="37">
        <v>274</v>
      </c>
      <c r="C520" s="38">
        <v>42577</v>
      </c>
      <c r="D520" s="171">
        <v>0.55848379629605915</v>
      </c>
      <c r="E520" s="163" t="s">
        <v>28</v>
      </c>
      <c r="F520" s="44" t="s">
        <v>399</v>
      </c>
    </row>
    <row r="521" spans="2:6" x14ac:dyDescent="0.45">
      <c r="B521" s="37">
        <v>273</v>
      </c>
      <c r="C521" s="38">
        <v>42573</v>
      </c>
      <c r="D521" s="171">
        <v>0.55739583333343035</v>
      </c>
      <c r="E521" s="163" t="s">
        <v>28</v>
      </c>
      <c r="F521" s="39" t="s">
        <v>350</v>
      </c>
    </row>
    <row r="522" spans="2:6" x14ac:dyDescent="0.45">
      <c r="B522" s="37">
        <v>272</v>
      </c>
      <c r="C522" s="38">
        <v>42572</v>
      </c>
      <c r="D522" s="171">
        <v>0.50613425925985212</v>
      </c>
      <c r="E522" s="163" t="s">
        <v>28</v>
      </c>
      <c r="F522" s="39" t="s">
        <v>398</v>
      </c>
    </row>
    <row r="523" spans="2:6" x14ac:dyDescent="0.45">
      <c r="B523" s="37">
        <v>271</v>
      </c>
      <c r="C523" s="38">
        <v>42563</v>
      </c>
      <c r="D523" s="171">
        <v>0.71768518518365454</v>
      </c>
      <c r="E523" s="163" t="s">
        <v>28</v>
      </c>
      <c r="F523" s="44" t="s">
        <v>396</v>
      </c>
    </row>
    <row r="524" spans="2:6" x14ac:dyDescent="0.45">
      <c r="B524" s="37">
        <v>270</v>
      </c>
      <c r="C524" s="38">
        <v>42562</v>
      </c>
      <c r="D524" s="171">
        <v>0.63149305555270985</v>
      </c>
      <c r="E524" s="163" t="s">
        <v>28</v>
      </c>
      <c r="F524" s="44" t="s">
        <v>395</v>
      </c>
    </row>
    <row r="525" spans="2:6" x14ac:dyDescent="0.45">
      <c r="B525" s="37">
        <v>269</v>
      </c>
      <c r="C525" s="38">
        <v>42562</v>
      </c>
      <c r="D525" s="171">
        <v>0.44371527777548181</v>
      </c>
      <c r="E525" s="163" t="s">
        <v>28</v>
      </c>
      <c r="F525" s="39" t="s">
        <v>394</v>
      </c>
    </row>
    <row r="526" spans="2:6" x14ac:dyDescent="0.45">
      <c r="B526" s="37">
        <v>268</v>
      </c>
      <c r="C526" s="38">
        <v>42557</v>
      </c>
      <c r="D526" s="171">
        <v>0.79059027777839219</v>
      </c>
      <c r="E526" s="163" t="s">
        <v>28</v>
      </c>
      <c r="F526" s="39" t="s">
        <v>393</v>
      </c>
    </row>
    <row r="527" spans="2:6" x14ac:dyDescent="0.45">
      <c r="B527" s="37">
        <v>267</v>
      </c>
      <c r="C527" s="38">
        <v>42557</v>
      </c>
      <c r="D527" s="171">
        <v>0.66763888888817746</v>
      </c>
      <c r="E527" s="163" t="s">
        <v>28</v>
      </c>
      <c r="F527" s="39" t="s">
        <v>392</v>
      </c>
    </row>
    <row r="528" spans="2:6" x14ac:dyDescent="0.45">
      <c r="B528" s="37">
        <v>266</v>
      </c>
      <c r="C528" s="38">
        <v>42557</v>
      </c>
      <c r="D528" s="171">
        <v>0.63512731481750961</v>
      </c>
      <c r="E528" s="163" t="s">
        <v>28</v>
      </c>
      <c r="F528" s="39" t="s">
        <v>391</v>
      </c>
    </row>
    <row r="529" spans="2:6" x14ac:dyDescent="0.45">
      <c r="B529" s="37">
        <v>265</v>
      </c>
      <c r="C529" s="38">
        <v>42557</v>
      </c>
      <c r="D529" s="171">
        <v>0.62534722222335404</v>
      </c>
      <c r="E529" s="163" t="s">
        <v>28</v>
      </c>
      <c r="F529" s="39" t="s">
        <v>390</v>
      </c>
    </row>
    <row r="530" spans="2:6" x14ac:dyDescent="0.45">
      <c r="B530" s="37">
        <v>264</v>
      </c>
      <c r="C530" s="38">
        <v>42557</v>
      </c>
      <c r="D530" s="171">
        <v>0.53766203703708015</v>
      </c>
      <c r="E530" s="163" t="s">
        <v>28</v>
      </c>
      <c r="F530" s="39" t="s">
        <v>389</v>
      </c>
    </row>
    <row r="531" spans="2:6" x14ac:dyDescent="0.45">
      <c r="B531" s="37">
        <v>263</v>
      </c>
      <c r="C531" s="38">
        <v>42556</v>
      </c>
      <c r="D531" s="171">
        <v>0.53373842592554865</v>
      </c>
      <c r="E531" s="163" t="s">
        <v>28</v>
      </c>
      <c r="F531" s="39" t="s">
        <v>388</v>
      </c>
    </row>
    <row r="532" spans="2:6" x14ac:dyDescent="0.45">
      <c r="B532" s="37">
        <v>262</v>
      </c>
      <c r="C532" s="38">
        <v>42555</v>
      </c>
      <c r="D532" s="171">
        <v>0.61320601851912215</v>
      </c>
      <c r="E532" s="163" t="s">
        <v>28</v>
      </c>
      <c r="F532" s="39" t="s">
        <v>387</v>
      </c>
    </row>
    <row r="533" spans="2:6" x14ac:dyDescent="0.45">
      <c r="B533" s="37">
        <v>261</v>
      </c>
      <c r="C533" s="38">
        <v>42551</v>
      </c>
      <c r="D533" s="171">
        <v>0.48619212963239988</v>
      </c>
      <c r="E533" s="163" t="s">
        <v>28</v>
      </c>
      <c r="F533" s="39" t="s">
        <v>386</v>
      </c>
    </row>
    <row r="534" spans="2:6" x14ac:dyDescent="0.45">
      <c r="B534" s="37">
        <v>260</v>
      </c>
      <c r="C534" s="38">
        <v>42551</v>
      </c>
      <c r="D534" s="171">
        <v>0.46159722222364508</v>
      </c>
      <c r="E534" s="163" t="s">
        <v>28</v>
      </c>
      <c r="F534" s="39" t="s">
        <v>385</v>
      </c>
    </row>
    <row r="535" spans="2:6" x14ac:dyDescent="0.45">
      <c r="B535" s="37">
        <v>259</v>
      </c>
      <c r="C535" s="38">
        <v>42551</v>
      </c>
      <c r="D535" s="171">
        <v>0.42896990740700858</v>
      </c>
      <c r="E535" s="163" t="s">
        <v>28</v>
      </c>
      <c r="F535" s="39" t="s">
        <v>380</v>
      </c>
    </row>
    <row r="536" spans="2:6" x14ac:dyDescent="0.45">
      <c r="B536" s="37">
        <v>258</v>
      </c>
      <c r="C536" s="38">
        <v>42549</v>
      </c>
      <c r="D536" s="171">
        <v>0.41310185185284354</v>
      </c>
      <c r="E536" s="163" t="s">
        <v>28</v>
      </c>
      <c r="F536" s="39" t="s">
        <v>379</v>
      </c>
    </row>
    <row r="537" spans="2:6" x14ac:dyDescent="0.45">
      <c r="B537" s="37">
        <v>257</v>
      </c>
      <c r="C537" s="38">
        <v>42543</v>
      </c>
      <c r="D537" s="171">
        <v>0.58837962963298196</v>
      </c>
      <c r="E537" s="163" t="s">
        <v>28</v>
      </c>
      <c r="F537" s="39" t="s">
        <v>378</v>
      </c>
    </row>
    <row r="538" spans="2:6" x14ac:dyDescent="0.45">
      <c r="B538" s="37">
        <v>256</v>
      </c>
      <c r="C538" s="38">
        <v>42537</v>
      </c>
      <c r="D538" s="171">
        <v>0.6262731481474475</v>
      </c>
      <c r="E538" s="163" t="s">
        <v>28</v>
      </c>
      <c r="F538" s="39" t="s">
        <v>377</v>
      </c>
    </row>
    <row r="539" spans="2:6" x14ac:dyDescent="0.45">
      <c r="B539" s="37">
        <v>255</v>
      </c>
      <c r="C539" s="38">
        <v>42536</v>
      </c>
      <c r="D539" s="171">
        <v>0.44924768518831115</v>
      </c>
      <c r="E539" s="163" t="s">
        <v>28</v>
      </c>
      <c r="F539" s="39" t="s">
        <v>376</v>
      </c>
    </row>
    <row r="540" spans="2:6" x14ac:dyDescent="0.45">
      <c r="B540" s="37">
        <v>254</v>
      </c>
      <c r="C540" s="38">
        <v>42530</v>
      </c>
      <c r="D540" s="171">
        <v>0.42829861111385981</v>
      </c>
      <c r="E540" s="163" t="s">
        <v>28</v>
      </c>
      <c r="F540" s="44" t="s">
        <v>375</v>
      </c>
    </row>
    <row r="541" spans="2:6" x14ac:dyDescent="0.45">
      <c r="B541" s="37">
        <v>253</v>
      </c>
      <c r="C541" s="38">
        <v>42528</v>
      </c>
      <c r="D541" s="171">
        <v>0.72641203703824431</v>
      </c>
      <c r="E541" s="163" t="s">
        <v>28</v>
      </c>
      <c r="F541" s="39" t="s">
        <v>374</v>
      </c>
    </row>
    <row r="542" spans="2:6" x14ac:dyDescent="0.45">
      <c r="B542" s="37">
        <v>252</v>
      </c>
      <c r="C542" s="38">
        <v>42514</v>
      </c>
      <c r="D542" s="171">
        <v>0.45978009259124519</v>
      </c>
      <c r="E542" s="163" t="s">
        <v>28</v>
      </c>
      <c r="F542" s="39" t="s">
        <v>373</v>
      </c>
    </row>
    <row r="543" spans="2:6" x14ac:dyDescent="0.45">
      <c r="B543" s="37">
        <v>251</v>
      </c>
      <c r="C543" s="38">
        <v>42514</v>
      </c>
      <c r="D543" s="171">
        <v>0.36896990740933688</v>
      </c>
      <c r="E543" s="163" t="s">
        <v>28</v>
      </c>
      <c r="F543" s="44" t="s">
        <v>371</v>
      </c>
    </row>
    <row r="544" spans="2:6" x14ac:dyDescent="0.45">
      <c r="B544" s="37">
        <v>250</v>
      </c>
      <c r="C544" s="38">
        <v>42513</v>
      </c>
      <c r="D544" s="171">
        <v>0.49591435184993315</v>
      </c>
      <c r="E544" s="163" t="s">
        <v>28</v>
      </c>
      <c r="F544" s="39" t="s">
        <v>370</v>
      </c>
    </row>
    <row r="545" spans="2:6" x14ac:dyDescent="0.45">
      <c r="B545" s="37">
        <v>249</v>
      </c>
      <c r="C545" s="38">
        <v>42513</v>
      </c>
      <c r="D545" s="171">
        <v>0.45526620370219462</v>
      </c>
      <c r="E545" s="163" t="s">
        <v>28</v>
      </c>
      <c r="F545" s="39" t="s">
        <v>369</v>
      </c>
    </row>
    <row r="546" spans="2:6" x14ac:dyDescent="0.45">
      <c r="B546" s="37">
        <v>248</v>
      </c>
      <c r="C546" s="38">
        <v>42510</v>
      </c>
      <c r="D546" s="171">
        <v>0.60246527777781012</v>
      </c>
      <c r="E546" s="163" t="s">
        <v>28</v>
      </c>
      <c r="F546" s="44" t="s">
        <v>368</v>
      </c>
    </row>
    <row r="547" spans="2:6" x14ac:dyDescent="0.45">
      <c r="B547" s="37">
        <v>247</v>
      </c>
      <c r="C547" s="38">
        <v>42510</v>
      </c>
      <c r="D547" s="171">
        <v>0.56820601852086838</v>
      </c>
      <c r="E547" s="163" t="s">
        <v>28</v>
      </c>
      <c r="F547" s="44" t="s">
        <v>367</v>
      </c>
    </row>
    <row r="548" spans="2:6" x14ac:dyDescent="0.45">
      <c r="B548" s="37">
        <v>246</v>
      </c>
      <c r="C548" s="38">
        <v>42509</v>
      </c>
      <c r="D548" s="171">
        <v>0.7514467592627625</v>
      </c>
      <c r="E548" s="163" t="s">
        <v>28</v>
      </c>
      <c r="F548" s="39" t="s">
        <v>366</v>
      </c>
    </row>
    <row r="549" spans="2:6" ht="28.5" x14ac:dyDescent="0.45">
      <c r="B549" s="37">
        <v>245</v>
      </c>
      <c r="C549" s="38">
        <v>42509</v>
      </c>
      <c r="D549" s="171">
        <v>0.66613425925606862</v>
      </c>
      <c r="E549" s="163" t="s">
        <v>28</v>
      </c>
      <c r="F549" s="44" t="s">
        <v>365</v>
      </c>
    </row>
    <row r="550" spans="2:6" x14ac:dyDescent="0.45">
      <c r="B550" s="37">
        <v>244</v>
      </c>
      <c r="C550" s="38">
        <v>42509</v>
      </c>
      <c r="D550" s="171">
        <v>0.47589120370685123</v>
      </c>
      <c r="E550" s="163" t="s">
        <v>28</v>
      </c>
      <c r="F550" s="44" t="s">
        <v>364</v>
      </c>
    </row>
    <row r="551" spans="2:6" x14ac:dyDescent="0.45">
      <c r="B551" s="37">
        <v>243</v>
      </c>
      <c r="C551" s="38">
        <v>42509</v>
      </c>
      <c r="D551" s="171">
        <v>0.40395833333604969</v>
      </c>
      <c r="E551" s="163" t="s">
        <v>28</v>
      </c>
      <c r="F551" s="39" t="s">
        <v>360</v>
      </c>
    </row>
    <row r="552" spans="2:6" x14ac:dyDescent="0.45">
      <c r="B552" s="37">
        <v>242</v>
      </c>
      <c r="C552" s="38">
        <v>42507</v>
      </c>
      <c r="D552" s="171">
        <v>0.71197916667006211</v>
      </c>
      <c r="E552" s="163" t="s">
        <v>28</v>
      </c>
      <c r="F552" s="39" t="s">
        <v>353</v>
      </c>
    </row>
    <row r="553" spans="2:6" x14ac:dyDescent="0.45">
      <c r="B553" s="37">
        <v>241</v>
      </c>
      <c r="C553" s="38">
        <v>42506</v>
      </c>
      <c r="D553" s="171">
        <v>0.4830324074064265</v>
      </c>
      <c r="E553" s="163" t="s">
        <v>28</v>
      </c>
      <c r="F553" s="44" t="s">
        <v>352</v>
      </c>
    </row>
    <row r="554" spans="2:6" x14ac:dyDescent="0.45">
      <c r="B554" s="37">
        <v>240</v>
      </c>
      <c r="C554" s="38">
        <v>42506</v>
      </c>
      <c r="D554" s="171">
        <v>0.43913194444758119</v>
      </c>
      <c r="E554" s="163" t="s">
        <v>28</v>
      </c>
      <c r="F554" s="39" t="s">
        <v>351</v>
      </c>
    </row>
    <row r="555" spans="2:6" x14ac:dyDescent="0.45">
      <c r="B555" s="37">
        <v>239</v>
      </c>
      <c r="C555" s="38">
        <v>42503</v>
      </c>
      <c r="D555" s="171">
        <v>0.70046296296641231</v>
      </c>
      <c r="E555" s="163" t="s">
        <v>28</v>
      </c>
      <c r="F555" s="39" t="s">
        <v>350</v>
      </c>
    </row>
    <row r="556" spans="2:6" x14ac:dyDescent="0.45">
      <c r="B556" s="37">
        <v>238</v>
      </c>
      <c r="C556" s="38">
        <v>42503</v>
      </c>
      <c r="D556" s="171">
        <v>0.64145833333168412</v>
      </c>
      <c r="E556" s="163" t="s">
        <v>28</v>
      </c>
      <c r="F556" s="39" t="s">
        <v>349</v>
      </c>
    </row>
    <row r="557" spans="2:6" x14ac:dyDescent="0.45">
      <c r="B557" s="37">
        <v>237</v>
      </c>
      <c r="C557" s="38">
        <v>42503</v>
      </c>
      <c r="D557" s="171">
        <v>0.60247685185458977</v>
      </c>
      <c r="E557" s="163" t="s">
        <v>28</v>
      </c>
      <c r="F557" s="39" t="s">
        <v>348</v>
      </c>
    </row>
    <row r="558" spans="2:6" ht="28.5" x14ac:dyDescent="0.45">
      <c r="B558" s="37">
        <v>236</v>
      </c>
      <c r="C558" s="38">
        <v>42503</v>
      </c>
      <c r="D558" s="171">
        <v>0.55697916666395031</v>
      </c>
      <c r="E558" s="163" t="s">
        <v>28</v>
      </c>
      <c r="F558" s="44" t="s">
        <v>347</v>
      </c>
    </row>
    <row r="559" spans="2:6" x14ac:dyDescent="0.45">
      <c r="B559" s="37">
        <v>235</v>
      </c>
      <c r="C559" s="38">
        <v>42503</v>
      </c>
      <c r="D559" s="171">
        <v>0.49567129629576812</v>
      </c>
      <c r="E559" s="163" t="s">
        <v>28</v>
      </c>
      <c r="F559" s="39" t="s">
        <v>346</v>
      </c>
    </row>
    <row r="560" spans="2:6" x14ac:dyDescent="0.45">
      <c r="B560" s="37">
        <v>234</v>
      </c>
      <c r="C560" s="38">
        <v>42503</v>
      </c>
      <c r="D560" s="171">
        <v>0.46118055555416504</v>
      </c>
      <c r="E560" s="163" t="s">
        <v>28</v>
      </c>
      <c r="F560" s="39" t="s">
        <v>345</v>
      </c>
    </row>
    <row r="561" spans="2:6" ht="28.5" x14ac:dyDescent="0.45">
      <c r="B561" s="37">
        <v>233</v>
      </c>
      <c r="C561" s="38">
        <v>42503</v>
      </c>
      <c r="D561" s="171">
        <v>0.4308912037013215</v>
      </c>
      <c r="E561" s="163" t="s">
        <v>28</v>
      </c>
      <c r="F561" s="39" t="s">
        <v>344</v>
      </c>
    </row>
    <row r="562" spans="2:6" x14ac:dyDescent="0.45">
      <c r="B562" s="37">
        <v>232</v>
      </c>
      <c r="C562" s="38">
        <v>42502</v>
      </c>
      <c r="D562" s="171">
        <v>0.79353009258920792</v>
      </c>
      <c r="E562" s="163" t="s">
        <v>28</v>
      </c>
      <c r="F562" s="39" t="s">
        <v>343</v>
      </c>
    </row>
    <row r="563" spans="2:6" x14ac:dyDescent="0.45">
      <c r="B563" s="37">
        <v>231</v>
      </c>
      <c r="C563" s="38">
        <v>42502</v>
      </c>
      <c r="D563" s="171">
        <v>0.44848379629547708</v>
      </c>
      <c r="E563" s="163" t="s">
        <v>28</v>
      </c>
      <c r="F563" s="39" t="s">
        <v>342</v>
      </c>
    </row>
    <row r="564" spans="2:6" x14ac:dyDescent="0.45">
      <c r="B564" s="37">
        <v>230</v>
      </c>
      <c r="C564" s="38">
        <v>42501</v>
      </c>
      <c r="D564" s="171">
        <v>0.45614583333372138</v>
      </c>
      <c r="E564" s="163" t="s">
        <v>28</v>
      </c>
      <c r="F564" s="44" t="s">
        <v>341</v>
      </c>
    </row>
    <row r="565" spans="2:6" x14ac:dyDescent="0.45">
      <c r="B565" s="37">
        <v>229</v>
      </c>
      <c r="C565" s="38">
        <v>42500</v>
      </c>
      <c r="D565" s="171">
        <v>0.81474537037138361</v>
      </c>
      <c r="E565" s="163" t="s">
        <v>28</v>
      </c>
      <c r="F565" s="39" t="s">
        <v>340</v>
      </c>
    </row>
    <row r="566" spans="2:6" ht="28.5" x14ac:dyDescent="0.45">
      <c r="B566" s="37">
        <v>228</v>
      </c>
      <c r="C566" s="38">
        <v>42500</v>
      </c>
      <c r="D566" s="171">
        <v>0.51994212962745223</v>
      </c>
      <c r="E566" s="163" t="s">
        <v>28</v>
      </c>
      <c r="F566" s="44" t="s">
        <v>332</v>
      </c>
    </row>
    <row r="567" spans="2:6" x14ac:dyDescent="0.45">
      <c r="B567" s="37">
        <v>227</v>
      </c>
      <c r="C567" s="38">
        <v>42499</v>
      </c>
      <c r="D567" s="171">
        <v>0.72424768518249039</v>
      </c>
      <c r="E567" s="163" t="s">
        <v>28</v>
      </c>
      <c r="F567" s="39" t="s">
        <v>331</v>
      </c>
    </row>
    <row r="568" spans="2:6" x14ac:dyDescent="0.45">
      <c r="B568" s="37">
        <v>226</v>
      </c>
      <c r="C568" s="38">
        <v>42496</v>
      </c>
      <c r="D568" s="171">
        <v>0.69748842592525762</v>
      </c>
      <c r="E568" s="163" t="s">
        <v>28</v>
      </c>
      <c r="F568" s="39" t="s">
        <v>330</v>
      </c>
    </row>
    <row r="569" spans="2:6" x14ac:dyDescent="0.45">
      <c r="B569" s="37">
        <v>225</v>
      </c>
      <c r="C569" s="38">
        <v>42496</v>
      </c>
      <c r="D569" s="171">
        <v>0.47697916666948004</v>
      </c>
      <c r="E569" s="163" t="s">
        <v>28</v>
      </c>
      <c r="F569" s="44" t="s">
        <v>329</v>
      </c>
    </row>
    <row r="570" spans="2:6" x14ac:dyDescent="0.45">
      <c r="B570" s="37">
        <v>224</v>
      </c>
      <c r="C570" s="38">
        <v>42494</v>
      </c>
      <c r="D570" s="171">
        <v>0.74332175926247146</v>
      </c>
      <c r="E570" s="163" t="s">
        <v>28</v>
      </c>
      <c r="F570" s="44" t="s">
        <v>328</v>
      </c>
    </row>
    <row r="571" spans="2:6" x14ac:dyDescent="0.45">
      <c r="B571" s="37">
        <v>223</v>
      </c>
      <c r="C571" s="38">
        <v>42494</v>
      </c>
      <c r="D571" s="171">
        <v>0.45682870370364981</v>
      </c>
      <c r="E571" s="163" t="s">
        <v>99</v>
      </c>
      <c r="F571" s="39" t="s">
        <v>327</v>
      </c>
    </row>
    <row r="572" spans="2:6" x14ac:dyDescent="0.45">
      <c r="B572" s="37">
        <v>222</v>
      </c>
      <c r="C572" s="38">
        <v>42493</v>
      </c>
      <c r="D572" s="171">
        <v>0.66236111111356877</v>
      </c>
      <c r="E572" s="163" t="s">
        <v>28</v>
      </c>
      <c r="F572" s="39" t="s">
        <v>326</v>
      </c>
    </row>
    <row r="573" spans="2:6" x14ac:dyDescent="0.45">
      <c r="B573" s="37">
        <v>221</v>
      </c>
      <c r="C573" s="38">
        <v>42493</v>
      </c>
      <c r="D573" s="171">
        <v>0.55752314814890269</v>
      </c>
      <c r="E573" s="163" t="s">
        <v>28</v>
      </c>
      <c r="F573" s="39" t="s">
        <v>325</v>
      </c>
    </row>
    <row r="574" spans="2:6" x14ac:dyDescent="0.45">
      <c r="B574" s="37">
        <v>220</v>
      </c>
      <c r="C574" s="38">
        <v>42489</v>
      </c>
      <c r="D574" s="171">
        <v>0.76415509259095415</v>
      </c>
      <c r="E574" s="163" t="s">
        <v>28</v>
      </c>
      <c r="F574" s="39" t="s">
        <v>307</v>
      </c>
    </row>
    <row r="575" spans="2:6" x14ac:dyDescent="0.45">
      <c r="B575" s="37">
        <v>219</v>
      </c>
      <c r="C575" s="38">
        <v>42488</v>
      </c>
      <c r="D575" s="171">
        <v>0.68853009259328246</v>
      </c>
      <c r="E575" s="163" t="s">
        <v>28</v>
      </c>
      <c r="F575" s="39" t="s">
        <v>302</v>
      </c>
    </row>
    <row r="576" spans="2:6" x14ac:dyDescent="0.45">
      <c r="B576" s="37">
        <v>218</v>
      </c>
      <c r="C576" s="38">
        <v>42487</v>
      </c>
      <c r="D576" s="171">
        <v>0.46473379629605915</v>
      </c>
      <c r="E576" s="163" t="s">
        <v>28</v>
      </c>
      <c r="F576" s="39" t="s">
        <v>301</v>
      </c>
    </row>
    <row r="577" spans="2:6" x14ac:dyDescent="0.45">
      <c r="B577" s="37">
        <v>217</v>
      </c>
      <c r="C577" s="38">
        <v>42486</v>
      </c>
      <c r="D577" s="171">
        <v>0.93284722221869742</v>
      </c>
      <c r="E577" s="163" t="s">
        <v>28</v>
      </c>
      <c r="F577" s="39" t="s">
        <v>300</v>
      </c>
    </row>
    <row r="578" spans="2:6" x14ac:dyDescent="0.45">
      <c r="B578" s="37">
        <v>216</v>
      </c>
      <c r="C578" s="38">
        <v>42486</v>
      </c>
      <c r="D578" s="171">
        <v>0.57918981481634546</v>
      </c>
      <c r="E578" s="163" t="s">
        <v>28</v>
      </c>
      <c r="F578" s="39" t="s">
        <v>299</v>
      </c>
    </row>
    <row r="579" spans="2:6" x14ac:dyDescent="0.45">
      <c r="B579" s="37">
        <v>215</v>
      </c>
      <c r="C579" s="38">
        <v>42486</v>
      </c>
      <c r="D579" s="171">
        <v>0.52962962962919846</v>
      </c>
      <c r="E579" s="163" t="s">
        <v>28</v>
      </c>
      <c r="F579" s="39" t="s">
        <v>298</v>
      </c>
    </row>
    <row r="580" spans="2:6" x14ac:dyDescent="0.45">
      <c r="B580" s="37">
        <v>214</v>
      </c>
      <c r="C580" s="38">
        <v>42486</v>
      </c>
      <c r="D580" s="171">
        <v>0.52563657407154096</v>
      </c>
      <c r="E580" s="163" t="s">
        <v>28</v>
      </c>
      <c r="F580" s="39" t="s">
        <v>297</v>
      </c>
    </row>
    <row r="581" spans="2:6" x14ac:dyDescent="0.45">
      <c r="B581" s="37">
        <v>213</v>
      </c>
      <c r="C581" s="38">
        <v>42485</v>
      </c>
      <c r="D581" s="171">
        <v>0.70920138889050577</v>
      </c>
      <c r="E581" s="163" t="s">
        <v>28</v>
      </c>
      <c r="F581" s="44" t="s">
        <v>296</v>
      </c>
    </row>
    <row r="582" spans="2:6" x14ac:dyDescent="0.45">
      <c r="B582" s="37">
        <v>212</v>
      </c>
      <c r="C582" s="38">
        <v>42485</v>
      </c>
      <c r="D582" s="171">
        <v>0.55662037037109258</v>
      </c>
      <c r="E582" s="163" t="s">
        <v>28</v>
      </c>
      <c r="F582" s="39" t="s">
        <v>295</v>
      </c>
    </row>
    <row r="583" spans="2:6" x14ac:dyDescent="0.45">
      <c r="B583" s="37">
        <v>211</v>
      </c>
      <c r="C583" s="38">
        <v>42482</v>
      </c>
      <c r="D583" s="171">
        <v>0.77059027777431766</v>
      </c>
      <c r="E583" s="163" t="s">
        <v>28</v>
      </c>
      <c r="F583" s="44" t="s">
        <v>294</v>
      </c>
    </row>
    <row r="584" spans="2:6" ht="28.5" x14ac:dyDescent="0.45">
      <c r="B584" s="37">
        <v>210</v>
      </c>
      <c r="C584" s="38">
        <v>42482</v>
      </c>
      <c r="D584" s="171">
        <v>0.71436342592642177</v>
      </c>
      <c r="E584" s="163" t="s">
        <v>28</v>
      </c>
      <c r="F584" s="44" t="s">
        <v>293</v>
      </c>
    </row>
    <row r="585" spans="2:6" x14ac:dyDescent="0.45">
      <c r="B585" s="37">
        <v>209</v>
      </c>
      <c r="C585" s="38">
        <v>42481</v>
      </c>
      <c r="D585" s="171">
        <v>0.68151620370190358</v>
      </c>
      <c r="E585" s="163" t="s">
        <v>28</v>
      </c>
      <c r="F585" s="39" t="s">
        <v>292</v>
      </c>
    </row>
    <row r="586" spans="2:6" x14ac:dyDescent="0.45">
      <c r="B586" s="37">
        <v>208</v>
      </c>
      <c r="C586" s="38">
        <v>42481</v>
      </c>
      <c r="D586" s="171">
        <v>0.51215277778101154</v>
      </c>
      <c r="E586" s="163" t="s">
        <v>28</v>
      </c>
      <c r="F586" s="39" t="s">
        <v>291</v>
      </c>
    </row>
    <row r="587" spans="2:6" x14ac:dyDescent="0.45">
      <c r="B587" s="37">
        <v>207</v>
      </c>
      <c r="C587" s="38">
        <v>42481</v>
      </c>
      <c r="D587" s="171">
        <v>0.41752314814948477</v>
      </c>
      <c r="E587" s="163" t="s">
        <v>28</v>
      </c>
      <c r="F587" s="39" t="s">
        <v>289</v>
      </c>
    </row>
    <row r="588" spans="2:6" ht="28.5" x14ac:dyDescent="0.45">
      <c r="B588" s="37">
        <v>206</v>
      </c>
      <c r="C588" s="38">
        <v>42480</v>
      </c>
      <c r="D588" s="171">
        <v>0.83141203703416977</v>
      </c>
      <c r="E588" s="163" t="s">
        <v>28</v>
      </c>
      <c r="F588" s="44" t="s">
        <v>288</v>
      </c>
    </row>
    <row r="589" spans="2:6" x14ac:dyDescent="0.45">
      <c r="B589" s="37">
        <v>205</v>
      </c>
      <c r="C589" s="38">
        <v>42480</v>
      </c>
      <c r="D589" s="171">
        <v>0.65913194444146939</v>
      </c>
      <c r="E589" s="163" t="s">
        <v>28</v>
      </c>
      <c r="F589" s="39" t="s">
        <v>287</v>
      </c>
    </row>
    <row r="590" spans="2:6" x14ac:dyDescent="0.45">
      <c r="B590" s="37">
        <v>204</v>
      </c>
      <c r="C590" s="38">
        <v>42480</v>
      </c>
      <c r="D590" s="171">
        <v>0.62613425926247146</v>
      </c>
      <c r="E590" s="163" t="s">
        <v>28</v>
      </c>
      <c r="F590" s="39" t="s">
        <v>286</v>
      </c>
    </row>
    <row r="591" spans="2:6" x14ac:dyDescent="0.45">
      <c r="B591" s="37">
        <v>203</v>
      </c>
      <c r="C591" s="38">
        <v>42480</v>
      </c>
      <c r="D591" s="171">
        <v>0.59711805555707542</v>
      </c>
      <c r="E591" s="163" t="s">
        <v>28</v>
      </c>
      <c r="F591" s="44" t="s">
        <v>285</v>
      </c>
    </row>
    <row r="592" spans="2:6" x14ac:dyDescent="0.45">
      <c r="B592" s="37">
        <v>202</v>
      </c>
      <c r="C592" s="38">
        <v>42480</v>
      </c>
      <c r="D592" s="171">
        <v>0.56355324073956581</v>
      </c>
      <c r="E592" s="163" t="s">
        <v>28</v>
      </c>
      <c r="F592" s="39" t="s">
        <v>284</v>
      </c>
    </row>
    <row r="593" spans="2:6" x14ac:dyDescent="0.45">
      <c r="B593" s="37">
        <v>201</v>
      </c>
      <c r="C593" s="38">
        <v>42480</v>
      </c>
      <c r="D593" s="171">
        <v>0.48899305555823958</v>
      </c>
      <c r="E593" s="163" t="s">
        <v>28</v>
      </c>
      <c r="F593" s="44" t="s">
        <v>283</v>
      </c>
    </row>
    <row r="594" spans="2:6" x14ac:dyDescent="0.45">
      <c r="B594" s="37">
        <v>200</v>
      </c>
      <c r="C594" s="38">
        <v>42480</v>
      </c>
      <c r="D594" s="171">
        <v>0.4675462962986785</v>
      </c>
      <c r="E594" s="163" t="s">
        <v>28</v>
      </c>
      <c r="F594" s="44" t="s">
        <v>282</v>
      </c>
    </row>
    <row r="595" spans="2:6" x14ac:dyDescent="0.45">
      <c r="B595" s="37">
        <v>199</v>
      </c>
      <c r="C595" s="38">
        <v>42479</v>
      </c>
      <c r="D595" s="171">
        <v>0.70249999999941792</v>
      </c>
      <c r="E595" s="163" t="s">
        <v>28</v>
      </c>
      <c r="F595" s="44" t="s">
        <v>281</v>
      </c>
    </row>
    <row r="596" spans="2:6" x14ac:dyDescent="0.45">
      <c r="B596" s="37">
        <v>198</v>
      </c>
      <c r="C596" s="38">
        <v>42479</v>
      </c>
      <c r="D596" s="171">
        <v>0.528668981482042</v>
      </c>
      <c r="E596" s="163" t="s">
        <v>28</v>
      </c>
      <c r="F596" s="39" t="s">
        <v>280</v>
      </c>
    </row>
    <row r="597" spans="2:6" x14ac:dyDescent="0.45">
      <c r="B597" s="37">
        <v>197</v>
      </c>
      <c r="C597" s="38">
        <v>42478</v>
      </c>
      <c r="D597" s="171">
        <v>0.62381944444496185</v>
      </c>
      <c r="E597" s="163" t="s">
        <v>28</v>
      </c>
      <c r="F597" s="39" t="s">
        <v>279</v>
      </c>
    </row>
    <row r="598" spans="2:6" x14ac:dyDescent="0.45">
      <c r="B598" s="37">
        <v>196</v>
      </c>
      <c r="C598" s="38">
        <v>42478</v>
      </c>
      <c r="D598" s="171">
        <v>0.61002314814686542</v>
      </c>
      <c r="E598" s="163" t="s">
        <v>28</v>
      </c>
      <c r="F598" s="39" t="s">
        <v>278</v>
      </c>
    </row>
    <row r="599" spans="2:6" x14ac:dyDescent="0.45">
      <c r="B599" s="37">
        <v>195</v>
      </c>
      <c r="C599" s="38">
        <v>42478</v>
      </c>
      <c r="D599" s="171">
        <v>0.59439814814686542</v>
      </c>
      <c r="E599" s="163" t="s">
        <v>28</v>
      </c>
      <c r="F599" s="39" t="s">
        <v>277</v>
      </c>
    </row>
    <row r="600" spans="2:6" x14ac:dyDescent="0.45">
      <c r="B600" s="37">
        <v>194</v>
      </c>
      <c r="C600" s="38">
        <v>42478</v>
      </c>
      <c r="D600" s="171">
        <v>0.46781249999912689</v>
      </c>
      <c r="E600" s="163" t="s">
        <v>28</v>
      </c>
      <c r="F600" s="44" t="s">
        <v>276</v>
      </c>
    </row>
    <row r="601" spans="2:6" ht="28.5" x14ac:dyDescent="0.45">
      <c r="B601" s="37">
        <v>193</v>
      </c>
      <c r="C601" s="38">
        <v>42475</v>
      </c>
      <c r="D601" s="171">
        <v>0.41668981481780065</v>
      </c>
      <c r="E601" s="163" t="s">
        <v>28</v>
      </c>
      <c r="F601" s="39" t="s">
        <v>275</v>
      </c>
    </row>
    <row r="602" spans="2:6" x14ac:dyDescent="0.45">
      <c r="B602" s="37">
        <v>192</v>
      </c>
      <c r="C602" s="38">
        <v>42474</v>
      </c>
      <c r="D602" s="171">
        <v>0.5742361111115315</v>
      </c>
      <c r="E602" s="163" t="s">
        <v>28</v>
      </c>
      <c r="F602" s="39" t="s">
        <v>274</v>
      </c>
    </row>
    <row r="603" spans="2:6" x14ac:dyDescent="0.45">
      <c r="B603" s="37">
        <v>191</v>
      </c>
      <c r="C603" s="38">
        <v>42474</v>
      </c>
      <c r="D603" s="171">
        <v>0.45317129629984265</v>
      </c>
      <c r="E603" s="163" t="s">
        <v>28</v>
      </c>
      <c r="F603" s="39" t="s">
        <v>273</v>
      </c>
    </row>
    <row r="604" spans="2:6" x14ac:dyDescent="0.45">
      <c r="B604" s="37">
        <v>190</v>
      </c>
      <c r="C604" s="38">
        <v>42474</v>
      </c>
      <c r="D604" s="171">
        <v>0.44804398147971369</v>
      </c>
      <c r="E604" s="163" t="s">
        <v>28</v>
      </c>
      <c r="F604" s="39" t="s">
        <v>272</v>
      </c>
    </row>
    <row r="605" spans="2:6" x14ac:dyDescent="0.45">
      <c r="B605" s="37">
        <v>189</v>
      </c>
      <c r="C605" s="38">
        <v>42474</v>
      </c>
      <c r="D605" s="171">
        <v>0.44747685184847796</v>
      </c>
      <c r="E605" s="163" t="s">
        <v>28</v>
      </c>
      <c r="F605" s="44" t="s">
        <v>271</v>
      </c>
    </row>
    <row r="606" spans="2:6" x14ac:dyDescent="0.45">
      <c r="B606" s="37">
        <v>188</v>
      </c>
      <c r="C606" s="38">
        <v>42473</v>
      </c>
      <c r="D606" s="171">
        <v>0.78859953703795327</v>
      </c>
      <c r="E606" s="163" t="s">
        <v>28</v>
      </c>
      <c r="F606" s="39" t="s">
        <v>270</v>
      </c>
    </row>
    <row r="607" spans="2:6" x14ac:dyDescent="0.45">
      <c r="B607" s="37">
        <v>187</v>
      </c>
      <c r="C607" s="38">
        <v>42473</v>
      </c>
      <c r="D607" s="171">
        <v>0.57487268518161727</v>
      </c>
      <c r="E607" s="163" t="s">
        <v>28</v>
      </c>
      <c r="F607" s="39" t="s">
        <v>269</v>
      </c>
    </row>
    <row r="608" spans="2:6" x14ac:dyDescent="0.45">
      <c r="B608" s="37">
        <v>186</v>
      </c>
      <c r="C608" s="38">
        <v>42472</v>
      </c>
      <c r="D608" s="171">
        <v>0.78219907407765277</v>
      </c>
      <c r="E608" s="163" t="s">
        <v>28</v>
      </c>
      <c r="F608" s="39" t="s">
        <v>268</v>
      </c>
    </row>
    <row r="609" spans="2:6" ht="28.5" x14ac:dyDescent="0.45">
      <c r="B609" s="37">
        <v>185</v>
      </c>
      <c r="C609" s="38">
        <v>42472</v>
      </c>
      <c r="D609" s="171">
        <v>0.61608796296059154</v>
      </c>
      <c r="E609" s="163" t="s">
        <v>28</v>
      </c>
      <c r="F609" s="39" t="s">
        <v>267</v>
      </c>
    </row>
    <row r="610" spans="2:6" x14ac:dyDescent="0.45">
      <c r="B610" s="37">
        <v>184</v>
      </c>
      <c r="C610" s="38">
        <v>42472</v>
      </c>
      <c r="D610" s="171">
        <v>0.5454629629603005</v>
      </c>
      <c r="E610" s="163" t="s">
        <v>28</v>
      </c>
      <c r="F610" s="39" t="s">
        <v>266</v>
      </c>
    </row>
    <row r="611" spans="2:6" x14ac:dyDescent="0.45">
      <c r="B611" s="37">
        <v>183</v>
      </c>
      <c r="C611" s="38">
        <v>42472</v>
      </c>
      <c r="D611" s="171">
        <v>0.44526620370015735</v>
      </c>
      <c r="E611" s="163" t="s">
        <v>99</v>
      </c>
      <c r="F611" s="39" t="s">
        <v>265</v>
      </c>
    </row>
    <row r="612" spans="2:6" x14ac:dyDescent="0.45">
      <c r="B612" s="37">
        <v>182</v>
      </c>
      <c r="C612" s="38">
        <v>42471</v>
      </c>
      <c r="D612" s="171">
        <v>0.72494212962919846</v>
      </c>
      <c r="E612" s="163" t="s">
        <v>28</v>
      </c>
      <c r="F612" s="44" t="s">
        <v>264</v>
      </c>
    </row>
    <row r="613" spans="2:6" x14ac:dyDescent="0.45">
      <c r="B613" s="37">
        <v>181</v>
      </c>
      <c r="C613" s="38">
        <v>42471</v>
      </c>
      <c r="D613" s="171">
        <v>0.66504629629343981</v>
      </c>
      <c r="E613" s="163" t="s">
        <v>28</v>
      </c>
      <c r="F613" s="44" t="s">
        <v>263</v>
      </c>
    </row>
    <row r="614" spans="2:6" x14ac:dyDescent="0.45">
      <c r="B614" s="37">
        <v>180</v>
      </c>
      <c r="C614" s="38">
        <v>42471</v>
      </c>
      <c r="D614" s="171">
        <v>0.59380787036934635</v>
      </c>
      <c r="E614" s="163" t="s">
        <v>28</v>
      </c>
      <c r="F614" s="44" t="s">
        <v>262</v>
      </c>
    </row>
    <row r="615" spans="2:6" x14ac:dyDescent="0.45">
      <c r="B615" s="37">
        <v>179</v>
      </c>
      <c r="C615" s="38">
        <v>42471</v>
      </c>
      <c r="D615" s="171">
        <v>0.41710648148000473</v>
      </c>
      <c r="E615" s="163" t="s">
        <v>28</v>
      </c>
      <c r="F615" s="39" t="s">
        <v>260</v>
      </c>
    </row>
    <row r="616" spans="2:6" x14ac:dyDescent="0.45">
      <c r="B616" s="37">
        <v>178</v>
      </c>
      <c r="C616" s="38">
        <v>42470</v>
      </c>
      <c r="D616" s="171">
        <v>0.52964120370597811</v>
      </c>
      <c r="E616" s="163" t="s">
        <v>28</v>
      </c>
      <c r="F616" s="44" t="s">
        <v>259</v>
      </c>
    </row>
    <row r="617" spans="2:6" x14ac:dyDescent="0.45">
      <c r="B617" s="37">
        <v>177</v>
      </c>
      <c r="C617" s="38">
        <v>42469</v>
      </c>
      <c r="D617" s="171">
        <v>0.91207175925956108</v>
      </c>
      <c r="E617" s="163" t="s">
        <v>28</v>
      </c>
      <c r="F617" s="39" t="s">
        <v>258</v>
      </c>
    </row>
    <row r="618" spans="2:6" x14ac:dyDescent="0.45">
      <c r="B618" s="37">
        <v>176</v>
      </c>
      <c r="C618" s="38">
        <v>42465</v>
      </c>
      <c r="D618" s="171">
        <v>0.84099537037400296</v>
      </c>
      <c r="E618" s="163" t="s">
        <v>28</v>
      </c>
      <c r="F618" s="44" t="s">
        <v>252</v>
      </c>
    </row>
    <row r="619" spans="2:6" x14ac:dyDescent="0.45">
      <c r="B619" s="37">
        <v>175</v>
      </c>
      <c r="C619" s="38">
        <v>42465</v>
      </c>
      <c r="D619" s="171">
        <v>0.63839120370539604</v>
      </c>
      <c r="E619" s="163" t="s">
        <v>28</v>
      </c>
      <c r="F619" s="39" t="s">
        <v>251</v>
      </c>
    </row>
    <row r="620" spans="2:6" x14ac:dyDescent="0.45">
      <c r="B620" s="37">
        <v>174</v>
      </c>
      <c r="C620" s="38">
        <v>42465</v>
      </c>
      <c r="D620" s="171">
        <v>0.43976851851766696</v>
      </c>
      <c r="E620" s="163" t="s">
        <v>28</v>
      </c>
      <c r="F620" s="44" t="s">
        <v>250</v>
      </c>
    </row>
    <row r="621" spans="2:6" ht="42.75" x14ac:dyDescent="0.45">
      <c r="B621" s="37">
        <v>173</v>
      </c>
      <c r="C621" s="38">
        <v>42464</v>
      </c>
      <c r="D621" s="171">
        <v>0.82403935184993315</v>
      </c>
      <c r="E621" s="163" t="s">
        <v>28</v>
      </c>
      <c r="F621" s="44" t="s">
        <v>248</v>
      </c>
    </row>
    <row r="622" spans="2:6" x14ac:dyDescent="0.45">
      <c r="B622" s="37">
        <v>172</v>
      </c>
      <c r="C622" s="38">
        <v>42463</v>
      </c>
      <c r="D622" s="171">
        <v>0.82469907407357823</v>
      </c>
      <c r="E622" s="163" t="s">
        <v>28</v>
      </c>
      <c r="F622" s="39" t="s">
        <v>247</v>
      </c>
    </row>
    <row r="623" spans="2:6" x14ac:dyDescent="0.45">
      <c r="B623" s="37">
        <v>171</v>
      </c>
      <c r="C623" s="38">
        <v>42463</v>
      </c>
      <c r="D623" s="171">
        <v>0.72327546296583023</v>
      </c>
      <c r="E623" s="163" t="s">
        <v>28</v>
      </c>
      <c r="F623" s="39" t="s">
        <v>246</v>
      </c>
    </row>
    <row r="624" spans="2:6" x14ac:dyDescent="0.45">
      <c r="B624" s="37">
        <v>170</v>
      </c>
      <c r="C624" s="38">
        <v>42462</v>
      </c>
      <c r="D624" s="171">
        <v>0.51690972222422715</v>
      </c>
      <c r="E624" s="163" t="s">
        <v>28</v>
      </c>
      <c r="F624" s="39" t="s">
        <v>244</v>
      </c>
    </row>
    <row r="625" spans="2:6" x14ac:dyDescent="0.45">
      <c r="B625" s="37">
        <v>169</v>
      </c>
      <c r="C625" s="38">
        <v>42462</v>
      </c>
      <c r="D625" s="171">
        <v>0.50347222221898846</v>
      </c>
      <c r="E625" s="163" t="s">
        <v>28</v>
      </c>
      <c r="F625" s="39" t="s">
        <v>243</v>
      </c>
    </row>
    <row r="626" spans="2:6" x14ac:dyDescent="0.45">
      <c r="B626" s="37">
        <v>168</v>
      </c>
      <c r="C626" s="38">
        <v>42462</v>
      </c>
      <c r="D626" s="171">
        <v>0.46390046296437504</v>
      </c>
      <c r="E626" s="163" t="s">
        <v>28</v>
      </c>
      <c r="F626" s="39" t="s">
        <v>242</v>
      </c>
    </row>
    <row r="627" spans="2:6" ht="28.5" x14ac:dyDescent="0.45">
      <c r="B627" s="37">
        <v>167</v>
      </c>
      <c r="C627" s="38">
        <v>42462</v>
      </c>
      <c r="D627" s="171">
        <v>0.45124999999825377</v>
      </c>
      <c r="E627" s="163" t="s">
        <v>28</v>
      </c>
      <c r="F627" s="44" t="s">
        <v>241</v>
      </c>
    </row>
    <row r="628" spans="2:6" ht="28.5" x14ac:dyDescent="0.45">
      <c r="B628" s="37">
        <v>166</v>
      </c>
      <c r="C628" s="38">
        <v>42462</v>
      </c>
      <c r="D628" s="171">
        <v>0.38990740740700858</v>
      </c>
      <c r="E628" s="163" t="s">
        <v>28</v>
      </c>
      <c r="F628" s="44" t="s">
        <v>240</v>
      </c>
    </row>
    <row r="629" spans="2:6" ht="28.5" x14ac:dyDescent="0.45">
      <c r="B629" s="37">
        <v>165</v>
      </c>
      <c r="C629" s="38">
        <v>42461</v>
      </c>
      <c r="D629" s="171">
        <v>0.81717592592758592</v>
      </c>
      <c r="E629" s="163" t="s">
        <v>28</v>
      </c>
      <c r="F629" s="44" t="s">
        <v>239</v>
      </c>
    </row>
    <row r="630" spans="2:6" ht="28.5" x14ac:dyDescent="0.45">
      <c r="B630" s="37">
        <v>164</v>
      </c>
      <c r="C630" s="38">
        <v>42461</v>
      </c>
      <c r="D630" s="171">
        <v>0.78194444444670808</v>
      </c>
      <c r="E630" s="163" t="s">
        <v>28</v>
      </c>
      <c r="F630" s="44" t="s">
        <v>238</v>
      </c>
    </row>
    <row r="631" spans="2:6" x14ac:dyDescent="0.45">
      <c r="B631" s="37">
        <v>163</v>
      </c>
      <c r="C631" s="38">
        <v>42461</v>
      </c>
      <c r="D631" s="171">
        <v>0.69223379629693227</v>
      </c>
      <c r="E631" s="163" t="s">
        <v>28</v>
      </c>
      <c r="F631" s="39" t="s">
        <v>237</v>
      </c>
    </row>
    <row r="632" spans="2:6" ht="28.5" x14ac:dyDescent="0.45">
      <c r="B632" s="37">
        <v>162</v>
      </c>
      <c r="C632" s="38">
        <v>42461</v>
      </c>
      <c r="D632" s="171">
        <v>0.62704861110978527</v>
      </c>
      <c r="E632" s="163" t="s">
        <v>28</v>
      </c>
      <c r="F632" s="44" t="s">
        <v>236</v>
      </c>
    </row>
    <row r="633" spans="2:6" x14ac:dyDescent="0.45">
      <c r="B633" s="37">
        <v>161</v>
      </c>
      <c r="C633" s="38">
        <v>42459</v>
      </c>
      <c r="D633" s="171">
        <v>0.33251157407357823</v>
      </c>
      <c r="E633" s="163" t="s">
        <v>28</v>
      </c>
      <c r="F633" s="39" t="s">
        <v>235</v>
      </c>
    </row>
    <row r="634" spans="2:6" x14ac:dyDescent="0.45">
      <c r="B634" s="37">
        <v>160</v>
      </c>
      <c r="C634" s="38">
        <v>42458</v>
      </c>
      <c r="D634" s="171">
        <v>0.52309027777664596</v>
      </c>
      <c r="E634" s="163" t="s">
        <v>28</v>
      </c>
      <c r="F634" s="39" t="s">
        <v>234</v>
      </c>
    </row>
    <row r="635" spans="2:6" x14ac:dyDescent="0.45">
      <c r="B635" s="37">
        <v>159</v>
      </c>
      <c r="C635" s="38">
        <v>42458</v>
      </c>
      <c r="D635" s="171">
        <v>0.52268518518394558</v>
      </c>
      <c r="E635" s="163" t="s">
        <v>28</v>
      </c>
      <c r="F635" s="39" t="s">
        <v>233</v>
      </c>
    </row>
    <row r="636" spans="2:6" x14ac:dyDescent="0.45">
      <c r="B636" s="37">
        <v>158</v>
      </c>
      <c r="C636" s="38">
        <v>42454</v>
      </c>
      <c r="D636" s="171">
        <v>0.67840277777577285</v>
      </c>
      <c r="E636" s="163" t="s">
        <v>28</v>
      </c>
      <c r="F636" s="44" t="s">
        <v>232</v>
      </c>
    </row>
    <row r="637" spans="2:6" x14ac:dyDescent="0.45">
      <c r="B637" s="37">
        <v>157</v>
      </c>
      <c r="C637" s="38">
        <v>42453</v>
      </c>
      <c r="D637" s="171">
        <v>0.67719907407445135</v>
      </c>
      <c r="E637" s="163" t="s">
        <v>28</v>
      </c>
      <c r="F637" s="39" t="s">
        <v>231</v>
      </c>
    </row>
    <row r="638" spans="2:6" x14ac:dyDescent="0.45">
      <c r="B638" s="37">
        <v>156</v>
      </c>
      <c r="C638" s="38">
        <v>42453</v>
      </c>
      <c r="D638" s="171">
        <v>0.71769675926043419</v>
      </c>
      <c r="E638" s="163" t="s">
        <v>28</v>
      </c>
      <c r="F638" s="39" t="s">
        <v>230</v>
      </c>
    </row>
    <row r="639" spans="2:6" x14ac:dyDescent="0.45">
      <c r="B639" s="37">
        <v>155</v>
      </c>
      <c r="C639" s="38">
        <v>42453</v>
      </c>
      <c r="D639" s="171">
        <v>0.63991898148378823</v>
      </c>
      <c r="E639" s="163" t="s">
        <v>28</v>
      </c>
      <c r="F639" s="39" t="s">
        <v>229</v>
      </c>
    </row>
    <row r="640" spans="2:6" ht="28.5" x14ac:dyDescent="0.45">
      <c r="B640" s="37">
        <v>154</v>
      </c>
      <c r="C640" s="38">
        <v>42452</v>
      </c>
      <c r="D640" s="171">
        <v>0.79585648148349719</v>
      </c>
      <c r="E640" s="163" t="s">
        <v>28</v>
      </c>
      <c r="F640" s="39" t="s">
        <v>228</v>
      </c>
    </row>
    <row r="641" spans="2:6" x14ac:dyDescent="0.45">
      <c r="B641" s="37">
        <v>153</v>
      </c>
      <c r="C641" s="38">
        <v>42452</v>
      </c>
      <c r="D641" s="171">
        <v>0.58503472222218988</v>
      </c>
      <c r="E641" s="163" t="s">
        <v>28</v>
      </c>
      <c r="F641" s="39" t="s">
        <v>227</v>
      </c>
    </row>
    <row r="642" spans="2:6" x14ac:dyDescent="0.45">
      <c r="B642" s="37">
        <v>152</v>
      </c>
      <c r="C642" s="38">
        <v>42451</v>
      </c>
      <c r="D642" s="171">
        <v>0.54126157407154096</v>
      </c>
      <c r="E642" s="163" t="s">
        <v>28</v>
      </c>
      <c r="F642" s="39" t="s">
        <v>226</v>
      </c>
    </row>
    <row r="643" spans="2:6" x14ac:dyDescent="0.45">
      <c r="B643" s="37">
        <v>151</v>
      </c>
      <c r="C643" s="38">
        <v>42446</v>
      </c>
      <c r="D643" s="171">
        <v>0.46395833333372138</v>
      </c>
      <c r="E643" s="163" t="s">
        <v>28</v>
      </c>
      <c r="F643" s="39" t="s">
        <v>225</v>
      </c>
    </row>
    <row r="644" spans="2:6" x14ac:dyDescent="0.45">
      <c r="B644" s="37">
        <v>150</v>
      </c>
      <c r="C644" s="38">
        <v>42446</v>
      </c>
      <c r="D644" s="171">
        <v>0.40443287036760012</v>
      </c>
      <c r="E644" s="163" t="s">
        <v>28</v>
      </c>
      <c r="F644" s="39" t="s">
        <v>224</v>
      </c>
    </row>
    <row r="645" spans="2:6" x14ac:dyDescent="0.45">
      <c r="B645" s="37">
        <v>149</v>
      </c>
      <c r="C645" s="38">
        <v>42445</v>
      </c>
      <c r="D645" s="171">
        <v>0.54696759259240935</v>
      </c>
      <c r="E645" s="163" t="s">
        <v>28</v>
      </c>
      <c r="F645" s="39" t="s">
        <v>223</v>
      </c>
    </row>
    <row r="646" spans="2:6" ht="28.5" x14ac:dyDescent="0.45">
      <c r="B646" s="37">
        <v>148</v>
      </c>
      <c r="C646" s="38">
        <v>42445</v>
      </c>
      <c r="D646" s="171">
        <v>0.47626157407648861</v>
      </c>
      <c r="E646" s="163" t="s">
        <v>28</v>
      </c>
      <c r="F646" s="44" t="s">
        <v>221</v>
      </c>
    </row>
    <row r="647" spans="2:6" x14ac:dyDescent="0.45">
      <c r="B647" s="37">
        <v>147</v>
      </c>
      <c r="C647" s="38">
        <v>42445</v>
      </c>
      <c r="D647" s="171">
        <v>0.38688657407328719</v>
      </c>
      <c r="E647" s="163" t="s">
        <v>28</v>
      </c>
      <c r="F647" s="39" t="s">
        <v>220</v>
      </c>
    </row>
    <row r="648" spans="2:6" x14ac:dyDescent="0.45">
      <c r="B648" s="37">
        <v>146</v>
      </c>
      <c r="C648" s="38">
        <v>42444</v>
      </c>
      <c r="D648" s="171">
        <v>0.51269675925868796</v>
      </c>
      <c r="E648" s="163" t="s">
        <v>28</v>
      </c>
      <c r="F648" s="39" t="s">
        <v>217</v>
      </c>
    </row>
    <row r="649" spans="2:6" x14ac:dyDescent="0.45">
      <c r="B649" s="37">
        <v>145</v>
      </c>
      <c r="C649" s="38">
        <v>42443</v>
      </c>
      <c r="D649" s="171">
        <v>0.69945601851941319</v>
      </c>
      <c r="E649" s="163" t="s">
        <v>28</v>
      </c>
      <c r="F649" s="39" t="s">
        <v>216</v>
      </c>
    </row>
    <row r="650" spans="2:6" x14ac:dyDescent="0.45">
      <c r="B650" s="37">
        <v>144</v>
      </c>
      <c r="C650" s="38">
        <v>42443</v>
      </c>
      <c r="D650" s="171">
        <v>0.65834490740962792</v>
      </c>
      <c r="E650" s="163" t="s">
        <v>28</v>
      </c>
      <c r="F650" s="39" t="s">
        <v>209</v>
      </c>
    </row>
    <row r="651" spans="2:6" x14ac:dyDescent="0.45">
      <c r="B651" s="37">
        <v>143</v>
      </c>
      <c r="C651" s="38">
        <v>42443</v>
      </c>
      <c r="D651" s="171">
        <v>0.61201388888730435</v>
      </c>
      <c r="E651" s="163" t="s">
        <v>28</v>
      </c>
      <c r="F651" s="39" t="s">
        <v>206</v>
      </c>
    </row>
    <row r="652" spans="2:6" x14ac:dyDescent="0.45">
      <c r="B652" s="37">
        <v>142</v>
      </c>
      <c r="C652" s="38">
        <v>42443</v>
      </c>
      <c r="D652" s="171">
        <v>0.46934027777751908</v>
      </c>
      <c r="E652" s="163" t="s">
        <v>28</v>
      </c>
      <c r="F652" s="39" t="s">
        <v>205</v>
      </c>
    </row>
    <row r="653" spans="2:6" x14ac:dyDescent="0.45">
      <c r="B653" s="37">
        <v>141</v>
      </c>
      <c r="C653" s="38">
        <v>42439</v>
      </c>
      <c r="D653" s="171">
        <v>0.39725694444496185</v>
      </c>
      <c r="E653" s="163" t="s">
        <v>28</v>
      </c>
      <c r="F653" s="39" t="s">
        <v>204</v>
      </c>
    </row>
    <row r="654" spans="2:6" x14ac:dyDescent="0.45">
      <c r="B654" s="37">
        <v>140</v>
      </c>
      <c r="C654" s="38">
        <v>42438</v>
      </c>
      <c r="D654" s="171">
        <v>0.65386574074364034</v>
      </c>
      <c r="E654" s="163" t="s">
        <v>28</v>
      </c>
      <c r="F654" s="39" t="s">
        <v>203</v>
      </c>
    </row>
    <row r="655" spans="2:6" x14ac:dyDescent="0.45">
      <c r="B655" s="37">
        <v>139</v>
      </c>
      <c r="C655" s="38">
        <v>42438</v>
      </c>
      <c r="D655" s="171">
        <v>0.45945601852145046</v>
      </c>
      <c r="E655" s="163" t="s">
        <v>28</v>
      </c>
      <c r="F655" s="39" t="s">
        <v>201</v>
      </c>
    </row>
    <row r="656" spans="2:6" x14ac:dyDescent="0.45">
      <c r="B656" s="37">
        <v>138</v>
      </c>
      <c r="C656" s="38">
        <v>42437</v>
      </c>
      <c r="D656" s="171">
        <v>0.46018518518394558</v>
      </c>
      <c r="E656" s="163" t="s">
        <v>28</v>
      </c>
      <c r="F656" s="44" t="s">
        <v>200</v>
      </c>
    </row>
    <row r="657" spans="2:6" x14ac:dyDescent="0.45">
      <c r="B657" s="37">
        <v>137</v>
      </c>
      <c r="C657" s="38">
        <v>42432</v>
      </c>
      <c r="D657" s="171">
        <v>0.47570601852203254</v>
      </c>
      <c r="E657" s="163" t="s">
        <v>28</v>
      </c>
      <c r="F657" s="44" t="s">
        <v>198</v>
      </c>
    </row>
    <row r="658" spans="2:6" x14ac:dyDescent="0.45">
      <c r="B658" s="37">
        <v>136</v>
      </c>
      <c r="C658" s="38">
        <v>42431</v>
      </c>
      <c r="D658" s="171">
        <v>0.69690972222451819</v>
      </c>
      <c r="E658" s="163" t="s">
        <v>28</v>
      </c>
      <c r="F658" s="44" t="s">
        <v>196</v>
      </c>
    </row>
    <row r="659" spans="2:6" x14ac:dyDescent="0.45">
      <c r="B659" s="37">
        <v>135</v>
      </c>
      <c r="C659" s="38">
        <v>42431</v>
      </c>
      <c r="D659" s="171">
        <v>0.57490740740468027</v>
      </c>
      <c r="E659" s="163" t="s">
        <v>28</v>
      </c>
      <c r="F659" s="44" t="s">
        <v>194</v>
      </c>
    </row>
    <row r="660" spans="2:6" x14ac:dyDescent="0.45">
      <c r="B660" s="37">
        <v>134</v>
      </c>
      <c r="C660" s="38">
        <v>42431</v>
      </c>
      <c r="D660" s="171">
        <v>0.45855324074364034</v>
      </c>
      <c r="E660" s="163" t="s">
        <v>28</v>
      </c>
      <c r="F660" s="39" t="s">
        <v>187</v>
      </c>
    </row>
    <row r="661" spans="2:6" x14ac:dyDescent="0.45">
      <c r="B661" s="37">
        <v>133</v>
      </c>
      <c r="C661" s="38">
        <v>42430</v>
      </c>
      <c r="D661" s="171">
        <v>0.62144675925810589</v>
      </c>
      <c r="E661" s="163" t="s">
        <v>28</v>
      </c>
      <c r="F661" s="39" t="s">
        <v>186</v>
      </c>
    </row>
    <row r="662" spans="2:6" x14ac:dyDescent="0.45">
      <c r="B662" s="37">
        <v>132</v>
      </c>
      <c r="C662" s="38">
        <v>42429</v>
      </c>
      <c r="D662" s="171">
        <v>0.69593750000058208</v>
      </c>
      <c r="E662" s="163" t="s">
        <v>28</v>
      </c>
      <c r="F662" s="44" t="s">
        <v>185</v>
      </c>
    </row>
    <row r="663" spans="2:6" x14ac:dyDescent="0.45">
      <c r="B663" s="37">
        <v>131</v>
      </c>
      <c r="C663" s="38">
        <v>42429</v>
      </c>
      <c r="D663" s="171">
        <v>0.66527777777810115</v>
      </c>
      <c r="E663" s="163" t="s">
        <v>28</v>
      </c>
      <c r="F663" s="39" t="s">
        <v>184</v>
      </c>
    </row>
    <row r="664" spans="2:6" x14ac:dyDescent="0.45">
      <c r="B664" s="37">
        <v>130</v>
      </c>
      <c r="C664" s="38">
        <v>42426</v>
      </c>
      <c r="D664" s="171">
        <v>0.61726851851562969</v>
      </c>
      <c r="E664" s="163" t="s">
        <v>28</v>
      </c>
      <c r="F664" s="39" t="s">
        <v>183</v>
      </c>
    </row>
    <row r="665" spans="2:6" x14ac:dyDescent="0.45">
      <c r="B665" s="37">
        <v>129</v>
      </c>
      <c r="C665" s="38">
        <v>42425</v>
      </c>
      <c r="D665" s="171">
        <v>0.67783564814453712</v>
      </c>
      <c r="E665" s="163" t="s">
        <v>28</v>
      </c>
      <c r="F665" s="44" t="s">
        <v>182</v>
      </c>
    </row>
    <row r="666" spans="2:6" x14ac:dyDescent="0.45">
      <c r="B666" s="37">
        <v>128</v>
      </c>
      <c r="C666" s="38">
        <v>42425</v>
      </c>
      <c r="D666" s="171">
        <v>0.50972222222480923</v>
      </c>
      <c r="E666" s="163" t="s">
        <v>107</v>
      </c>
      <c r="F666" s="39" t="s">
        <v>181</v>
      </c>
    </row>
    <row r="667" spans="2:6" x14ac:dyDescent="0.45">
      <c r="B667" s="37">
        <v>127</v>
      </c>
      <c r="C667" s="38">
        <v>42424</v>
      </c>
      <c r="D667" s="171">
        <v>0.48415509259211831</v>
      </c>
      <c r="E667" s="163" t="s">
        <v>28</v>
      </c>
      <c r="F667" s="39" t="s">
        <v>176</v>
      </c>
    </row>
    <row r="668" spans="2:6" x14ac:dyDescent="0.45">
      <c r="B668" s="37">
        <v>126</v>
      </c>
      <c r="C668" s="38">
        <v>42423</v>
      </c>
      <c r="D668" s="171">
        <v>0.60317129629402189</v>
      </c>
      <c r="E668" s="163" t="s">
        <v>28</v>
      </c>
      <c r="F668" s="44" t="s">
        <v>172</v>
      </c>
    </row>
    <row r="669" spans="2:6" x14ac:dyDescent="0.45">
      <c r="B669" s="37">
        <v>125</v>
      </c>
      <c r="C669" s="38">
        <v>42422</v>
      </c>
      <c r="D669" s="171">
        <v>0.77908564815152204</v>
      </c>
      <c r="E669" s="163" t="s">
        <v>28</v>
      </c>
      <c r="F669" s="39" t="s">
        <v>171</v>
      </c>
    </row>
    <row r="670" spans="2:6" x14ac:dyDescent="0.45">
      <c r="B670" s="37">
        <v>124</v>
      </c>
      <c r="C670" s="38">
        <v>42422</v>
      </c>
      <c r="D670" s="171">
        <v>0.65877314814861165</v>
      </c>
      <c r="E670" s="163" t="s">
        <v>28</v>
      </c>
      <c r="F670" s="44" t="s">
        <v>170</v>
      </c>
    </row>
    <row r="671" spans="2:6" x14ac:dyDescent="0.45">
      <c r="B671" s="37">
        <v>123</v>
      </c>
      <c r="C671" s="38">
        <v>42419</v>
      </c>
      <c r="D671" s="171">
        <v>0.69305555555555554</v>
      </c>
      <c r="E671" s="163" t="s">
        <v>107</v>
      </c>
      <c r="F671" s="44" t="s">
        <v>169</v>
      </c>
    </row>
    <row r="672" spans="2:6" x14ac:dyDescent="0.45">
      <c r="B672" s="37">
        <v>122</v>
      </c>
      <c r="C672" s="38">
        <v>42412</v>
      </c>
      <c r="D672" s="171">
        <v>0.46406250000291038</v>
      </c>
      <c r="E672" s="163" t="s">
        <v>28</v>
      </c>
      <c r="F672" s="39" t="s">
        <v>168</v>
      </c>
    </row>
    <row r="673" spans="2:6" x14ac:dyDescent="0.45">
      <c r="B673" s="37">
        <v>121</v>
      </c>
      <c r="C673" s="38">
        <v>42412</v>
      </c>
      <c r="D673" s="171">
        <v>0.43628472222189885</v>
      </c>
      <c r="E673" s="163" t="s">
        <v>28</v>
      </c>
      <c r="F673" s="39" t="s">
        <v>167</v>
      </c>
    </row>
    <row r="674" spans="2:6" x14ac:dyDescent="0.45">
      <c r="B674" s="37">
        <v>120</v>
      </c>
      <c r="C674" s="38">
        <v>42411</v>
      </c>
      <c r="D674" s="171">
        <v>0.41726851851854008</v>
      </c>
      <c r="E674" s="163" t="s">
        <v>28</v>
      </c>
      <c r="F674" s="39" t="s">
        <v>166</v>
      </c>
    </row>
    <row r="675" spans="2:6" x14ac:dyDescent="0.45">
      <c r="B675" s="37">
        <v>119</v>
      </c>
      <c r="C675" s="38">
        <v>42411</v>
      </c>
      <c r="D675" s="171">
        <v>0.39375000000291038</v>
      </c>
      <c r="E675" s="163" t="s">
        <v>107</v>
      </c>
      <c r="F675" s="39" t="s">
        <v>165</v>
      </c>
    </row>
    <row r="676" spans="2:6" x14ac:dyDescent="0.45">
      <c r="B676" s="37">
        <v>118</v>
      </c>
      <c r="C676" s="38">
        <v>42409</v>
      </c>
      <c r="D676" s="171">
        <v>0.69694444444758119</v>
      </c>
      <c r="E676" s="163" t="s">
        <v>28</v>
      </c>
      <c r="F676" s="44" t="s">
        <v>164</v>
      </c>
    </row>
    <row r="677" spans="2:6" x14ac:dyDescent="0.45">
      <c r="B677" s="37">
        <v>117</v>
      </c>
      <c r="C677" s="38">
        <v>42408</v>
      </c>
      <c r="D677" s="171">
        <v>0.59212962962919846</v>
      </c>
      <c r="E677" s="163" t="s">
        <v>107</v>
      </c>
      <c r="F677" s="44" t="s">
        <v>163</v>
      </c>
    </row>
    <row r="678" spans="2:6" x14ac:dyDescent="0.45">
      <c r="B678" s="37">
        <v>116</v>
      </c>
      <c r="C678" s="38">
        <v>42401</v>
      </c>
      <c r="D678" s="171">
        <v>0.51265046296612127</v>
      </c>
      <c r="E678" s="163" t="s">
        <v>28</v>
      </c>
      <c r="F678" s="39" t="s">
        <v>161</v>
      </c>
    </row>
    <row r="679" spans="2:6" x14ac:dyDescent="0.45">
      <c r="B679" s="37">
        <v>115</v>
      </c>
      <c r="C679" s="38">
        <v>42401</v>
      </c>
      <c r="D679" s="171">
        <v>0.50372685184993315</v>
      </c>
      <c r="E679" s="163" t="s">
        <v>28</v>
      </c>
      <c r="F679" s="39" t="s">
        <v>160</v>
      </c>
    </row>
    <row r="680" spans="2:6" x14ac:dyDescent="0.45">
      <c r="B680" s="37">
        <v>114</v>
      </c>
      <c r="C680" s="38">
        <v>42401</v>
      </c>
      <c r="D680" s="171">
        <v>0.47922453703358769</v>
      </c>
      <c r="E680" s="163" t="s">
        <v>107</v>
      </c>
      <c r="F680" s="39" t="s">
        <v>159</v>
      </c>
    </row>
    <row r="681" spans="2:6" x14ac:dyDescent="0.45">
      <c r="B681" s="37">
        <v>113</v>
      </c>
      <c r="C681" s="38">
        <v>42401</v>
      </c>
      <c r="D681" s="171">
        <v>0.38817129629751435</v>
      </c>
      <c r="E681" s="163" t="s">
        <v>28</v>
      </c>
      <c r="F681" s="44" t="s">
        <v>158</v>
      </c>
    </row>
    <row r="682" spans="2:6" x14ac:dyDescent="0.45">
      <c r="B682" s="37">
        <v>112</v>
      </c>
      <c r="C682" s="38">
        <v>42397</v>
      </c>
      <c r="D682" s="171">
        <v>0.52428240740846377</v>
      </c>
      <c r="E682" s="163" t="s">
        <v>28</v>
      </c>
      <c r="F682" s="44" t="s">
        <v>157</v>
      </c>
    </row>
    <row r="683" spans="2:6" x14ac:dyDescent="0.45">
      <c r="B683" s="37">
        <v>111</v>
      </c>
      <c r="C683" s="38">
        <v>42397</v>
      </c>
      <c r="D683" s="171">
        <v>0.42814814814482816</v>
      </c>
      <c r="E683" s="163" t="s">
        <v>28</v>
      </c>
      <c r="F683" s="44" t="s">
        <v>156</v>
      </c>
    </row>
    <row r="684" spans="2:6" x14ac:dyDescent="0.45">
      <c r="B684" s="37">
        <v>110</v>
      </c>
      <c r="C684" s="38">
        <v>42396</v>
      </c>
      <c r="D684" s="171">
        <v>0.66287037036818219</v>
      </c>
      <c r="E684" s="163" t="s">
        <v>28</v>
      </c>
      <c r="F684" s="39" t="s">
        <v>155</v>
      </c>
    </row>
    <row r="685" spans="2:6" x14ac:dyDescent="0.45">
      <c r="B685" s="37">
        <v>109</v>
      </c>
      <c r="C685" s="38">
        <v>42396</v>
      </c>
      <c r="D685" s="171">
        <v>0.62976851851999527</v>
      </c>
      <c r="E685" s="163" t="s">
        <v>28</v>
      </c>
      <c r="F685" s="44" t="s">
        <v>154</v>
      </c>
    </row>
    <row r="686" spans="2:6" x14ac:dyDescent="0.45">
      <c r="B686" s="37">
        <v>108</v>
      </c>
      <c r="C686" s="38">
        <v>42394</v>
      </c>
      <c r="D686" s="171">
        <v>0.786446759258979</v>
      </c>
      <c r="E686" s="163" t="s">
        <v>28</v>
      </c>
      <c r="F686" s="44" t="s">
        <v>153</v>
      </c>
    </row>
    <row r="687" spans="2:6" ht="28.5" x14ac:dyDescent="0.45">
      <c r="B687" s="37">
        <v>107</v>
      </c>
      <c r="C687" s="38">
        <v>42394</v>
      </c>
      <c r="D687" s="171">
        <v>0.76355324074393138</v>
      </c>
      <c r="E687" s="163" t="s">
        <v>57</v>
      </c>
      <c r="F687" s="39" t="s">
        <v>152</v>
      </c>
    </row>
    <row r="688" spans="2:6" x14ac:dyDescent="0.45">
      <c r="B688" s="37">
        <v>106</v>
      </c>
      <c r="C688" s="38">
        <v>42394</v>
      </c>
      <c r="D688" s="171">
        <v>0.492291666669189</v>
      </c>
      <c r="E688" s="163" t="s">
        <v>28</v>
      </c>
      <c r="F688" s="39" t="s">
        <v>151</v>
      </c>
    </row>
    <row r="689" spans="2:6" x14ac:dyDescent="0.45">
      <c r="B689" s="37">
        <v>105</v>
      </c>
      <c r="C689" s="38">
        <v>42390</v>
      </c>
      <c r="D689" s="171">
        <v>0.66596064814802958</v>
      </c>
      <c r="E689" s="163" t="s">
        <v>28</v>
      </c>
      <c r="F689" s="39" t="s">
        <v>150</v>
      </c>
    </row>
    <row r="690" spans="2:6" x14ac:dyDescent="0.45">
      <c r="B690" s="37">
        <v>104</v>
      </c>
      <c r="C690" s="38">
        <v>42390</v>
      </c>
      <c r="D690" s="171">
        <v>0.65891203703358769</v>
      </c>
      <c r="E690" s="163" t="s">
        <v>28</v>
      </c>
      <c r="F690" s="39" t="s">
        <v>149</v>
      </c>
    </row>
    <row r="691" spans="2:6" x14ac:dyDescent="0.45">
      <c r="B691" s="37">
        <v>103</v>
      </c>
      <c r="C691" s="38">
        <v>42390</v>
      </c>
      <c r="D691" s="171">
        <v>0.64086805555416504</v>
      </c>
      <c r="E691" s="163" t="s">
        <v>28</v>
      </c>
      <c r="F691" s="44" t="s">
        <v>148</v>
      </c>
    </row>
    <row r="692" spans="2:6" x14ac:dyDescent="0.45">
      <c r="B692" s="37">
        <v>102</v>
      </c>
      <c r="C692" s="38">
        <v>42390</v>
      </c>
      <c r="D692" s="171">
        <v>0.51896990741079208</v>
      </c>
      <c r="E692" s="163" t="s">
        <v>28</v>
      </c>
      <c r="F692" s="44" t="s">
        <v>147</v>
      </c>
    </row>
    <row r="693" spans="2:6" x14ac:dyDescent="0.45">
      <c r="B693" s="37">
        <v>101</v>
      </c>
      <c r="C693" s="38">
        <v>42390</v>
      </c>
      <c r="D693" s="171">
        <v>0.5013773148166365</v>
      </c>
      <c r="E693" s="163" t="s">
        <v>28</v>
      </c>
      <c r="F693" s="44" t="s">
        <v>146</v>
      </c>
    </row>
    <row r="694" spans="2:6" x14ac:dyDescent="0.45">
      <c r="B694" s="37">
        <v>100</v>
      </c>
      <c r="C694" s="38">
        <v>42389</v>
      </c>
      <c r="D694" s="171">
        <v>0.41474537036992842</v>
      </c>
      <c r="E694" s="163" t="s">
        <v>28</v>
      </c>
      <c r="F694" s="39" t="s">
        <v>145</v>
      </c>
    </row>
    <row r="695" spans="2:6" x14ac:dyDescent="0.45">
      <c r="B695" s="37">
        <v>99</v>
      </c>
      <c r="C695" s="38">
        <v>42388</v>
      </c>
      <c r="D695" s="171">
        <v>0.43164351851737592</v>
      </c>
      <c r="E695" s="163" t="s">
        <v>28</v>
      </c>
      <c r="F695" s="44" t="s">
        <v>144</v>
      </c>
    </row>
    <row r="696" spans="2:6" x14ac:dyDescent="0.45">
      <c r="B696" s="37">
        <v>98</v>
      </c>
      <c r="C696" s="38">
        <v>42387</v>
      </c>
      <c r="D696" s="171">
        <v>0.69297453703620704</v>
      </c>
      <c r="E696" s="163" t="s">
        <v>28</v>
      </c>
      <c r="F696" s="39" t="s">
        <v>143</v>
      </c>
    </row>
    <row r="697" spans="2:6" x14ac:dyDescent="0.45">
      <c r="B697" s="37">
        <v>97</v>
      </c>
      <c r="C697" s="38">
        <v>42387</v>
      </c>
      <c r="D697" s="171">
        <v>0.66130787037400296</v>
      </c>
      <c r="E697" s="163" t="s">
        <v>28</v>
      </c>
      <c r="F697" s="39" t="s">
        <v>142</v>
      </c>
    </row>
    <row r="698" spans="2:6" x14ac:dyDescent="0.45">
      <c r="B698" s="37">
        <v>96</v>
      </c>
      <c r="C698" s="38">
        <v>42387</v>
      </c>
      <c r="D698" s="171">
        <v>0.43690972222248092</v>
      </c>
      <c r="E698" s="163" t="s">
        <v>28</v>
      </c>
      <c r="F698" s="39" t="s">
        <v>141</v>
      </c>
    </row>
    <row r="699" spans="2:6" x14ac:dyDescent="0.45">
      <c r="B699" s="37">
        <v>95</v>
      </c>
      <c r="C699" s="38">
        <v>42384</v>
      </c>
      <c r="D699" s="171">
        <v>0.57237268518656492</v>
      </c>
      <c r="E699" s="163" t="s">
        <v>28</v>
      </c>
      <c r="F699" s="39" t="s">
        <v>140</v>
      </c>
    </row>
    <row r="700" spans="2:6" x14ac:dyDescent="0.45">
      <c r="B700" s="37">
        <v>94</v>
      </c>
      <c r="C700" s="38">
        <v>42384</v>
      </c>
      <c r="D700" s="171">
        <v>0.39766203703766223</v>
      </c>
      <c r="E700" s="163" t="s">
        <v>28</v>
      </c>
      <c r="F700" s="39" t="s">
        <v>139</v>
      </c>
    </row>
    <row r="701" spans="2:6" x14ac:dyDescent="0.45">
      <c r="B701" s="37">
        <v>93</v>
      </c>
      <c r="C701" s="38">
        <v>42383</v>
      </c>
      <c r="D701" s="171">
        <v>0.40878472222539131</v>
      </c>
      <c r="E701" s="163" t="s">
        <v>28</v>
      </c>
      <c r="F701" s="39" t="s">
        <v>138</v>
      </c>
    </row>
    <row r="702" spans="2:6" x14ac:dyDescent="0.45">
      <c r="B702" s="37">
        <v>92</v>
      </c>
      <c r="C702" s="38">
        <v>42381</v>
      </c>
      <c r="D702" s="171">
        <v>0.70688657407299615</v>
      </c>
      <c r="E702" s="163" t="s">
        <v>28</v>
      </c>
      <c r="F702" s="39" t="s">
        <v>137</v>
      </c>
    </row>
    <row r="703" spans="2:6" x14ac:dyDescent="0.45">
      <c r="B703" s="37">
        <v>91</v>
      </c>
      <c r="C703" s="38">
        <v>42381</v>
      </c>
      <c r="D703" s="171">
        <v>0.67305555555503815</v>
      </c>
      <c r="E703" s="163" t="s">
        <v>28</v>
      </c>
      <c r="F703" s="39" t="s">
        <v>134</v>
      </c>
    </row>
    <row r="704" spans="2:6" x14ac:dyDescent="0.45">
      <c r="B704" s="37">
        <v>90</v>
      </c>
      <c r="C704" s="38">
        <v>42380</v>
      </c>
      <c r="D704" s="171">
        <v>0.67760416666715173</v>
      </c>
      <c r="E704" s="163" t="s">
        <v>28</v>
      </c>
      <c r="F704" s="44" t="s">
        <v>132</v>
      </c>
    </row>
    <row r="705" spans="2:6" x14ac:dyDescent="0.45">
      <c r="B705" s="37">
        <v>89</v>
      </c>
      <c r="C705" s="38">
        <v>42377</v>
      </c>
      <c r="D705" s="171">
        <v>0.68283564814919373</v>
      </c>
      <c r="E705" s="163" t="s">
        <v>28</v>
      </c>
      <c r="F705" s="39" t="s">
        <v>131</v>
      </c>
    </row>
    <row r="706" spans="2:6" x14ac:dyDescent="0.45">
      <c r="B706" s="37">
        <v>88</v>
      </c>
      <c r="C706" s="38">
        <v>42375</v>
      </c>
      <c r="D706" s="171">
        <v>0.70728009259619284</v>
      </c>
      <c r="E706" s="163" t="s">
        <v>28</v>
      </c>
      <c r="F706" s="39" t="s">
        <v>130</v>
      </c>
    </row>
    <row r="707" spans="2:6" x14ac:dyDescent="0.45">
      <c r="B707" s="37">
        <v>87</v>
      </c>
      <c r="C707" s="38">
        <v>42375</v>
      </c>
      <c r="D707" s="171">
        <v>0.67796296296000946</v>
      </c>
      <c r="E707" s="163" t="s">
        <v>28</v>
      </c>
      <c r="F707" s="39" t="s">
        <v>129</v>
      </c>
    </row>
    <row r="708" spans="2:6" x14ac:dyDescent="0.45">
      <c r="B708" s="37">
        <v>86</v>
      </c>
      <c r="C708" s="38">
        <v>42375</v>
      </c>
      <c r="D708" s="171">
        <v>0.41380787036905531</v>
      </c>
      <c r="E708" s="163" t="s">
        <v>28</v>
      </c>
      <c r="F708" s="39" t="s">
        <v>128</v>
      </c>
    </row>
    <row r="709" spans="2:6" x14ac:dyDescent="0.45">
      <c r="B709" s="37">
        <v>85</v>
      </c>
      <c r="C709" s="38">
        <v>42374</v>
      </c>
      <c r="D709" s="171">
        <v>0.69940972221957054</v>
      </c>
      <c r="E709" s="163" t="s">
        <v>28</v>
      </c>
      <c r="F709" s="44" t="s">
        <v>127</v>
      </c>
    </row>
    <row r="710" spans="2:6" x14ac:dyDescent="0.45">
      <c r="B710" s="37">
        <v>84</v>
      </c>
      <c r="C710" s="38">
        <v>42374</v>
      </c>
      <c r="D710" s="171">
        <v>0.44598379629314877</v>
      </c>
      <c r="E710" s="163" t="s">
        <v>28</v>
      </c>
      <c r="F710" s="39" t="s">
        <v>126</v>
      </c>
    </row>
    <row r="711" spans="2:6" x14ac:dyDescent="0.45">
      <c r="B711" s="37">
        <v>83</v>
      </c>
      <c r="C711" s="38">
        <v>42373</v>
      </c>
      <c r="D711" s="171">
        <v>0.71053240740729962</v>
      </c>
      <c r="E711" s="163" t="s">
        <v>28</v>
      </c>
      <c r="F711" s="39" t="s">
        <v>125</v>
      </c>
    </row>
    <row r="712" spans="2:6" x14ac:dyDescent="0.45">
      <c r="B712" s="37">
        <v>82</v>
      </c>
      <c r="C712" s="38">
        <v>42373</v>
      </c>
      <c r="D712" s="171">
        <v>0.57760416666860692</v>
      </c>
      <c r="E712" s="163" t="s">
        <v>28</v>
      </c>
      <c r="F712" s="39" t="s">
        <v>124</v>
      </c>
    </row>
    <row r="713" spans="2:6" x14ac:dyDescent="0.45">
      <c r="B713" s="37">
        <v>81</v>
      </c>
      <c r="C713" s="38">
        <v>42373</v>
      </c>
      <c r="D713" s="171">
        <v>0.55408564814570127</v>
      </c>
      <c r="E713" s="163" t="s">
        <v>28</v>
      </c>
      <c r="F713" s="39" t="s">
        <v>123</v>
      </c>
    </row>
    <row r="714" spans="2:6" x14ac:dyDescent="0.45">
      <c r="B714" s="12">
        <v>80</v>
      </c>
      <c r="C714" s="13">
        <v>42355</v>
      </c>
      <c r="D714" s="172">
        <v>0.61862268518598285</v>
      </c>
      <c r="E714" s="164" t="s">
        <v>28</v>
      </c>
      <c r="F714" s="15" t="s">
        <v>122</v>
      </c>
    </row>
    <row r="715" spans="2:6" x14ac:dyDescent="0.45">
      <c r="B715" s="12">
        <v>79</v>
      </c>
      <c r="C715" s="13">
        <v>42346</v>
      </c>
      <c r="D715" s="172">
        <v>0.72938657407212304</v>
      </c>
      <c r="E715" s="164" t="s">
        <v>28</v>
      </c>
      <c r="F715" s="15" t="s">
        <v>121</v>
      </c>
    </row>
    <row r="716" spans="2:6" x14ac:dyDescent="0.45">
      <c r="B716" s="12">
        <v>78</v>
      </c>
      <c r="C716" s="13">
        <v>42346</v>
      </c>
      <c r="D716" s="172">
        <v>0.67114583333022892</v>
      </c>
      <c r="E716" s="164" t="s">
        <v>28</v>
      </c>
      <c r="F716" s="15" t="s">
        <v>120</v>
      </c>
    </row>
    <row r="717" spans="2:6" x14ac:dyDescent="0.45">
      <c r="B717" s="12">
        <v>77</v>
      </c>
      <c r="C717" s="13">
        <v>42346</v>
      </c>
      <c r="D717" s="172">
        <v>0.41865740740468027</v>
      </c>
      <c r="E717" s="164" t="s">
        <v>28</v>
      </c>
      <c r="F717" s="15" t="s">
        <v>119</v>
      </c>
    </row>
    <row r="718" spans="2:6" x14ac:dyDescent="0.45">
      <c r="B718" s="12">
        <v>76</v>
      </c>
      <c r="C718" s="13">
        <v>42345</v>
      </c>
      <c r="D718" s="172">
        <v>0.59295138889137888</v>
      </c>
      <c r="E718" s="164" t="s">
        <v>28</v>
      </c>
      <c r="F718" s="15" t="s">
        <v>118</v>
      </c>
    </row>
    <row r="719" spans="2:6" x14ac:dyDescent="0.45">
      <c r="B719" s="12">
        <v>75</v>
      </c>
      <c r="C719" s="13">
        <v>42345</v>
      </c>
      <c r="D719" s="172">
        <v>0.56446759259415558</v>
      </c>
      <c r="E719" s="164" t="s">
        <v>28</v>
      </c>
      <c r="F719" s="14" t="s">
        <v>117</v>
      </c>
    </row>
    <row r="720" spans="2:6" x14ac:dyDescent="0.45">
      <c r="B720" s="12">
        <v>74</v>
      </c>
      <c r="C720" s="13">
        <v>42342</v>
      </c>
      <c r="D720" s="172">
        <v>0.63646990740380716</v>
      </c>
      <c r="E720" s="164" t="s">
        <v>28</v>
      </c>
      <c r="F720" s="15" t="s">
        <v>116</v>
      </c>
    </row>
    <row r="721" spans="2:6" x14ac:dyDescent="0.45">
      <c r="B721" s="12">
        <v>73</v>
      </c>
      <c r="C721" s="13">
        <v>42342</v>
      </c>
      <c r="D721" s="172">
        <v>0.48271990740613546</v>
      </c>
      <c r="E721" s="164" t="s">
        <v>28</v>
      </c>
      <c r="F721" s="15" t="s">
        <v>115</v>
      </c>
    </row>
    <row r="722" spans="2:6" x14ac:dyDescent="0.45">
      <c r="B722" s="12">
        <v>72</v>
      </c>
      <c r="C722" s="13">
        <v>42342</v>
      </c>
      <c r="D722" s="172">
        <v>0.42319444444729015</v>
      </c>
      <c r="E722" s="164" t="s">
        <v>28</v>
      </c>
      <c r="F722" s="14" t="s">
        <v>114</v>
      </c>
    </row>
    <row r="723" spans="2:6" x14ac:dyDescent="0.45">
      <c r="B723" s="12">
        <v>71</v>
      </c>
      <c r="C723" s="13">
        <v>42341</v>
      </c>
      <c r="D723" s="172">
        <v>0.67716435185138835</v>
      </c>
      <c r="E723" s="164" t="s">
        <v>28</v>
      </c>
      <c r="F723" s="15" t="s">
        <v>113</v>
      </c>
    </row>
    <row r="724" spans="2:6" x14ac:dyDescent="0.45">
      <c r="B724" s="12">
        <v>70</v>
      </c>
      <c r="C724" s="13">
        <v>42341</v>
      </c>
      <c r="D724" s="172">
        <v>0.44818287037196569</v>
      </c>
      <c r="E724" s="164" t="s">
        <v>28</v>
      </c>
      <c r="F724" s="15" t="s">
        <v>110</v>
      </c>
    </row>
    <row r="725" spans="2:6" x14ac:dyDescent="0.45">
      <c r="B725" s="12">
        <v>69</v>
      </c>
      <c r="C725" s="13">
        <v>42340</v>
      </c>
      <c r="D725" s="172">
        <v>0.46518518518860219</v>
      </c>
      <c r="E725" s="164" t="s">
        <v>28</v>
      </c>
      <c r="F725" s="15" t="s">
        <v>109</v>
      </c>
    </row>
    <row r="726" spans="2:6" x14ac:dyDescent="0.45">
      <c r="B726" s="12">
        <v>68</v>
      </c>
      <c r="C726" s="13">
        <v>42340</v>
      </c>
      <c r="D726" s="172">
        <v>0.43908564814773854</v>
      </c>
      <c r="E726" s="164" t="s">
        <v>28</v>
      </c>
      <c r="F726" s="15" t="s">
        <v>108</v>
      </c>
    </row>
    <row r="727" spans="2:6" x14ac:dyDescent="0.45">
      <c r="B727" s="12">
        <v>67</v>
      </c>
      <c r="C727" s="13">
        <v>42339</v>
      </c>
      <c r="D727" s="172">
        <v>0.69245370370481396</v>
      </c>
      <c r="E727" s="164" t="s">
        <v>107</v>
      </c>
      <c r="F727" s="15" t="s">
        <v>135</v>
      </c>
    </row>
    <row r="728" spans="2:6" x14ac:dyDescent="0.45">
      <c r="B728" s="12">
        <v>66</v>
      </c>
      <c r="C728" s="13">
        <v>42339</v>
      </c>
      <c r="D728" s="172">
        <v>0.53208333333168412</v>
      </c>
      <c r="E728" s="164" t="s">
        <v>107</v>
      </c>
      <c r="F728" s="15" t="s">
        <v>136</v>
      </c>
    </row>
    <row r="729" spans="2:6" ht="28.5" x14ac:dyDescent="0.45">
      <c r="B729" s="12">
        <v>65</v>
      </c>
      <c r="C729" s="13">
        <v>42335</v>
      </c>
      <c r="D729" s="172">
        <v>0.51043981481780065</v>
      </c>
      <c r="E729" s="164" t="s">
        <v>28</v>
      </c>
      <c r="F729" s="14" t="s">
        <v>106</v>
      </c>
    </row>
    <row r="730" spans="2:6" x14ac:dyDescent="0.45">
      <c r="B730" s="12">
        <v>64</v>
      </c>
      <c r="C730" s="13">
        <v>42333</v>
      </c>
      <c r="D730" s="172">
        <v>0.70362268518510973</v>
      </c>
      <c r="E730" s="164" t="s">
        <v>28</v>
      </c>
      <c r="F730" s="15" t="s">
        <v>105</v>
      </c>
    </row>
    <row r="731" spans="2:6" x14ac:dyDescent="0.45">
      <c r="B731" s="12">
        <v>63</v>
      </c>
      <c r="C731" s="13">
        <v>42333</v>
      </c>
      <c r="D731" s="172">
        <v>0.64092592592351139</v>
      </c>
      <c r="E731" s="164" t="s">
        <v>28</v>
      </c>
      <c r="F731" s="15" t="s">
        <v>104</v>
      </c>
    </row>
    <row r="732" spans="2:6" x14ac:dyDescent="0.45">
      <c r="B732" s="12">
        <v>62</v>
      </c>
      <c r="C732" s="13">
        <v>42333</v>
      </c>
      <c r="D732" s="172">
        <v>0.62225694444350665</v>
      </c>
      <c r="E732" s="164" t="s">
        <v>28</v>
      </c>
      <c r="F732" s="15" t="s">
        <v>103</v>
      </c>
    </row>
    <row r="733" spans="2:6" x14ac:dyDescent="0.45">
      <c r="B733" s="12">
        <v>61</v>
      </c>
      <c r="C733" s="13">
        <v>42333</v>
      </c>
      <c r="D733" s="172">
        <v>0.42997685185400769</v>
      </c>
      <c r="E733" s="164" t="s">
        <v>28</v>
      </c>
      <c r="F733" s="15" t="s">
        <v>102</v>
      </c>
    </row>
    <row r="734" spans="2:6" ht="28.5" x14ac:dyDescent="0.45">
      <c r="B734" s="12">
        <v>60</v>
      </c>
      <c r="C734" s="13">
        <v>42331</v>
      </c>
      <c r="D734" s="172">
        <v>0.69652777777810115</v>
      </c>
      <c r="E734" s="164" t="s">
        <v>28</v>
      </c>
      <c r="F734" s="14" t="s">
        <v>101</v>
      </c>
    </row>
    <row r="735" spans="2:6" x14ac:dyDescent="0.45">
      <c r="B735" s="12">
        <v>59</v>
      </c>
      <c r="C735" s="13">
        <v>42331</v>
      </c>
      <c r="D735" s="172">
        <v>0.61265046296466608</v>
      </c>
      <c r="E735" s="131" t="s">
        <v>99</v>
      </c>
      <c r="F735" s="15" t="s">
        <v>100</v>
      </c>
    </row>
    <row r="736" spans="2:6" x14ac:dyDescent="0.45">
      <c r="B736" s="12">
        <v>58</v>
      </c>
      <c r="C736" s="13">
        <v>42331</v>
      </c>
      <c r="D736" s="172">
        <v>0.53484953703446081</v>
      </c>
      <c r="E736" s="164" t="s">
        <v>28</v>
      </c>
      <c r="F736" s="14" t="s">
        <v>97</v>
      </c>
    </row>
    <row r="737" spans="2:6" x14ac:dyDescent="0.45">
      <c r="B737" s="12">
        <v>57</v>
      </c>
      <c r="C737" s="13">
        <v>42331</v>
      </c>
      <c r="D737" s="172">
        <v>0.39831018518452765</v>
      </c>
      <c r="E737" s="164" t="s">
        <v>28</v>
      </c>
      <c r="F737" s="15" t="s">
        <v>95</v>
      </c>
    </row>
    <row r="738" spans="2:6" x14ac:dyDescent="0.45">
      <c r="B738" s="12">
        <v>56</v>
      </c>
      <c r="C738" s="13">
        <v>42328</v>
      </c>
      <c r="D738" s="172">
        <v>0.68998842592554865</v>
      </c>
      <c r="E738" s="164" t="s">
        <v>28</v>
      </c>
      <c r="F738" s="15" t="s">
        <v>94</v>
      </c>
    </row>
    <row r="739" spans="2:6" x14ac:dyDescent="0.45">
      <c r="B739" s="12">
        <v>55</v>
      </c>
      <c r="C739" s="13">
        <v>42328</v>
      </c>
      <c r="D739" s="172">
        <v>0.64695601852145046</v>
      </c>
      <c r="E739" s="164" t="s">
        <v>57</v>
      </c>
      <c r="F739" s="15" t="s">
        <v>93</v>
      </c>
    </row>
    <row r="740" spans="2:6" ht="28.5" x14ac:dyDescent="0.45">
      <c r="B740" s="12">
        <v>54</v>
      </c>
      <c r="C740" s="13">
        <v>42328</v>
      </c>
      <c r="D740" s="172">
        <v>0.47149305555649335</v>
      </c>
      <c r="E740" s="164" t="s">
        <v>57</v>
      </c>
      <c r="F740" s="15" t="s">
        <v>92</v>
      </c>
    </row>
    <row r="741" spans="2:6" x14ac:dyDescent="0.45">
      <c r="B741" s="12">
        <v>53</v>
      </c>
      <c r="C741" s="13">
        <v>42327</v>
      </c>
      <c r="D741" s="172">
        <v>0.6184259259243845</v>
      </c>
      <c r="E741" s="164" t="s">
        <v>28</v>
      </c>
      <c r="F741" s="15" t="s">
        <v>90</v>
      </c>
    </row>
    <row r="742" spans="2:6" x14ac:dyDescent="0.45">
      <c r="B742" s="12">
        <v>52</v>
      </c>
      <c r="C742" s="13">
        <v>42327</v>
      </c>
      <c r="D742" s="172">
        <v>0.52321759259211831</v>
      </c>
      <c r="E742" s="164" t="s">
        <v>28</v>
      </c>
      <c r="F742" s="15" t="s">
        <v>89</v>
      </c>
    </row>
    <row r="743" spans="2:6" ht="28.5" x14ac:dyDescent="0.45">
      <c r="B743" s="12">
        <v>51</v>
      </c>
      <c r="C743" s="13">
        <v>42326</v>
      </c>
      <c r="D743" s="172">
        <v>0.71670138889021473</v>
      </c>
      <c r="E743" s="164" t="s">
        <v>28</v>
      </c>
      <c r="F743" s="14" t="s">
        <v>88</v>
      </c>
    </row>
    <row r="744" spans="2:6" x14ac:dyDescent="0.45">
      <c r="B744" s="12">
        <v>50</v>
      </c>
      <c r="C744" s="13">
        <v>42326</v>
      </c>
      <c r="D744" s="172">
        <v>0.66497685185458977</v>
      </c>
      <c r="E744" s="164" t="s">
        <v>28</v>
      </c>
      <c r="F744" s="14" t="s">
        <v>86</v>
      </c>
    </row>
    <row r="745" spans="2:6" x14ac:dyDescent="0.45">
      <c r="B745" s="12">
        <v>49</v>
      </c>
      <c r="C745" s="13">
        <v>42326</v>
      </c>
      <c r="D745" s="172">
        <v>0.63115740740613546</v>
      </c>
      <c r="E745" s="164" t="s">
        <v>28</v>
      </c>
      <c r="F745" s="14" t="s">
        <v>84</v>
      </c>
    </row>
    <row r="746" spans="2:6" ht="28.5" x14ac:dyDescent="0.45">
      <c r="B746" s="12">
        <v>48</v>
      </c>
      <c r="C746" s="13">
        <v>42326</v>
      </c>
      <c r="D746" s="172">
        <v>0.58934027778013842</v>
      </c>
      <c r="E746" s="164" t="s">
        <v>28</v>
      </c>
      <c r="F746" s="14" t="s">
        <v>83</v>
      </c>
    </row>
    <row r="747" spans="2:6" ht="28.5" x14ac:dyDescent="0.45">
      <c r="B747" s="12">
        <v>47</v>
      </c>
      <c r="C747" s="13">
        <v>42326</v>
      </c>
      <c r="D747" s="172">
        <v>0.49016203703649808</v>
      </c>
      <c r="E747" s="164" t="s">
        <v>28</v>
      </c>
      <c r="F747" s="15" t="s">
        <v>81</v>
      </c>
    </row>
    <row r="748" spans="2:6" x14ac:dyDescent="0.45">
      <c r="B748" s="12">
        <v>46</v>
      </c>
      <c r="C748" s="13">
        <v>42326</v>
      </c>
      <c r="D748" s="172">
        <v>0.48349537036847323</v>
      </c>
      <c r="E748" s="164" t="s">
        <v>28</v>
      </c>
      <c r="F748" s="15" t="s">
        <v>82</v>
      </c>
    </row>
    <row r="749" spans="2:6" x14ac:dyDescent="0.45">
      <c r="B749" s="12">
        <v>45</v>
      </c>
      <c r="C749" s="13">
        <v>42325</v>
      </c>
      <c r="D749" s="172">
        <v>0.726701388892252</v>
      </c>
      <c r="E749" s="164" t="s">
        <v>28</v>
      </c>
      <c r="F749" s="14" t="s">
        <v>80</v>
      </c>
    </row>
    <row r="750" spans="2:6" x14ac:dyDescent="0.45">
      <c r="B750" s="12">
        <v>44</v>
      </c>
      <c r="C750" s="13">
        <v>42325</v>
      </c>
      <c r="D750" s="172">
        <v>0.70814814815093996</v>
      </c>
      <c r="E750" s="164" t="s">
        <v>28</v>
      </c>
      <c r="F750" s="15" t="s">
        <v>73</v>
      </c>
    </row>
    <row r="751" spans="2:6" x14ac:dyDescent="0.45">
      <c r="B751" s="12">
        <v>43</v>
      </c>
      <c r="C751" s="13">
        <v>42325</v>
      </c>
      <c r="D751" s="172">
        <v>0.69797453703358769</v>
      </c>
      <c r="E751" s="164" t="s">
        <v>28</v>
      </c>
      <c r="F751" s="14" t="s">
        <v>72</v>
      </c>
    </row>
    <row r="752" spans="2:6" ht="57" x14ac:dyDescent="0.45">
      <c r="B752" s="12">
        <v>42</v>
      </c>
      <c r="C752" s="13">
        <v>42325</v>
      </c>
      <c r="D752" s="172">
        <v>0.656284722223063</v>
      </c>
      <c r="E752" s="164" t="s">
        <v>28</v>
      </c>
      <c r="F752" s="14" t="s">
        <v>70</v>
      </c>
    </row>
    <row r="753" spans="2:6" x14ac:dyDescent="0.45">
      <c r="B753" s="12">
        <v>41</v>
      </c>
      <c r="C753" s="13">
        <v>42325</v>
      </c>
      <c r="D753" s="172">
        <v>0.43769675926159834</v>
      </c>
      <c r="E753" s="164" t="s">
        <v>28</v>
      </c>
      <c r="F753" s="14" t="s">
        <v>67</v>
      </c>
    </row>
    <row r="754" spans="2:6" x14ac:dyDescent="0.45">
      <c r="B754" s="12">
        <v>40</v>
      </c>
      <c r="C754" s="13">
        <v>42324</v>
      </c>
      <c r="D754" s="172">
        <v>0.80605324073985685</v>
      </c>
      <c r="E754" s="164" t="s">
        <v>57</v>
      </c>
      <c r="F754" s="15" t="s">
        <v>66</v>
      </c>
    </row>
    <row r="755" spans="2:6" x14ac:dyDescent="0.45">
      <c r="B755" s="12">
        <v>39</v>
      </c>
      <c r="C755" s="13">
        <v>42324</v>
      </c>
      <c r="D755" s="172">
        <v>0.67103009259153623</v>
      </c>
      <c r="E755" s="164" t="s">
        <v>28</v>
      </c>
      <c r="F755" s="14" t="s">
        <v>65</v>
      </c>
    </row>
    <row r="756" spans="2:6" x14ac:dyDescent="0.45">
      <c r="B756" s="12">
        <v>38</v>
      </c>
      <c r="C756" s="13">
        <v>42324</v>
      </c>
      <c r="D756" s="172">
        <v>0.60769675925985212</v>
      </c>
      <c r="E756" s="164" t="s">
        <v>28</v>
      </c>
      <c r="F756" s="14" t="s">
        <v>64</v>
      </c>
    </row>
    <row r="757" spans="2:6" ht="28.5" x14ac:dyDescent="0.45">
      <c r="B757" s="12">
        <v>37</v>
      </c>
      <c r="C757" s="13">
        <v>42324</v>
      </c>
      <c r="D757" s="172">
        <v>0.41793981481168885</v>
      </c>
      <c r="E757" s="164" t="s">
        <v>28</v>
      </c>
      <c r="F757" s="14" t="s">
        <v>63</v>
      </c>
    </row>
    <row r="758" spans="2:6" x14ac:dyDescent="0.45">
      <c r="B758" s="12">
        <v>36</v>
      </c>
      <c r="C758" s="13">
        <v>42321</v>
      </c>
      <c r="D758" s="172">
        <v>0.726493055553874</v>
      </c>
      <c r="E758" s="164" t="s">
        <v>28</v>
      </c>
      <c r="F758" s="15" t="s">
        <v>62</v>
      </c>
    </row>
    <row r="759" spans="2:6" x14ac:dyDescent="0.45">
      <c r="B759" s="12">
        <v>35</v>
      </c>
      <c r="C759" s="13">
        <v>42321</v>
      </c>
      <c r="D759" s="172">
        <v>0.65797453703999054</v>
      </c>
      <c r="E759" s="164" t="s">
        <v>28</v>
      </c>
      <c r="F759" s="15" t="s">
        <v>61</v>
      </c>
    </row>
    <row r="760" spans="2:6" ht="28.5" x14ac:dyDescent="0.45">
      <c r="B760" s="12">
        <v>34</v>
      </c>
      <c r="C760" s="13">
        <v>42320</v>
      </c>
      <c r="D760" s="172">
        <v>0.79445601852057735</v>
      </c>
      <c r="E760" s="164" t="s">
        <v>28</v>
      </c>
      <c r="F760" s="15" t="s">
        <v>60</v>
      </c>
    </row>
    <row r="761" spans="2:6" x14ac:dyDescent="0.45">
      <c r="B761" s="12">
        <v>33</v>
      </c>
      <c r="C761" s="13">
        <v>42320</v>
      </c>
      <c r="D761" s="172">
        <v>0.54555555555270985</v>
      </c>
      <c r="E761" s="164" t="s">
        <v>28</v>
      </c>
      <c r="F761" s="14" t="s">
        <v>59</v>
      </c>
    </row>
    <row r="762" spans="2:6" x14ac:dyDescent="0.45">
      <c r="B762" s="12">
        <v>32</v>
      </c>
      <c r="C762" s="13">
        <v>42320</v>
      </c>
      <c r="D762" s="172">
        <v>0.48534722222393611</v>
      </c>
      <c r="E762" s="164" t="s">
        <v>57</v>
      </c>
      <c r="F762" s="15" t="s">
        <v>58</v>
      </c>
    </row>
    <row r="763" spans="2:6" x14ac:dyDescent="0.45">
      <c r="B763" s="12">
        <v>31</v>
      </c>
      <c r="C763" s="13">
        <v>42319</v>
      </c>
      <c r="D763" s="172">
        <v>0.72612268518423662</v>
      </c>
      <c r="E763" s="164" t="s">
        <v>28</v>
      </c>
      <c r="F763" s="15" t="s">
        <v>56</v>
      </c>
    </row>
    <row r="764" spans="2:6" x14ac:dyDescent="0.45">
      <c r="B764" s="12">
        <v>30</v>
      </c>
      <c r="C764" s="13">
        <v>42319</v>
      </c>
      <c r="D764" s="172">
        <v>0.596261574071832</v>
      </c>
      <c r="E764" s="164" t="s">
        <v>28</v>
      </c>
      <c r="F764" s="15" t="s">
        <v>55</v>
      </c>
    </row>
    <row r="765" spans="2:6" x14ac:dyDescent="0.45">
      <c r="B765" s="12">
        <v>29</v>
      </c>
      <c r="C765" s="13">
        <v>42319</v>
      </c>
      <c r="D765" s="172">
        <v>0.47091435184847796</v>
      </c>
      <c r="E765" s="164" t="s">
        <v>28</v>
      </c>
      <c r="F765" s="14" t="s">
        <v>54</v>
      </c>
    </row>
    <row r="766" spans="2:6" x14ac:dyDescent="0.45">
      <c r="B766" s="12">
        <v>28</v>
      </c>
      <c r="C766" s="13">
        <v>42319</v>
      </c>
      <c r="D766" s="172">
        <v>0.43951388888672227</v>
      </c>
      <c r="E766" s="164" t="s">
        <v>28</v>
      </c>
      <c r="F766" s="15" t="s">
        <v>53</v>
      </c>
    </row>
    <row r="767" spans="2:6" x14ac:dyDescent="0.45">
      <c r="B767" s="12">
        <v>27</v>
      </c>
      <c r="C767" s="13">
        <v>42318</v>
      </c>
      <c r="D767" s="172">
        <v>0.71059027777664596</v>
      </c>
      <c r="E767" s="164" t="s">
        <v>28</v>
      </c>
      <c r="F767" s="14" t="s">
        <v>51</v>
      </c>
    </row>
    <row r="768" spans="2:6" x14ac:dyDescent="0.45">
      <c r="B768" s="12">
        <v>26</v>
      </c>
      <c r="C768" s="13">
        <v>42318</v>
      </c>
      <c r="D768" s="172">
        <v>0.6628240740756155</v>
      </c>
      <c r="E768" s="164" t="s">
        <v>28</v>
      </c>
      <c r="F768" s="14" t="s">
        <v>49</v>
      </c>
    </row>
    <row r="769" spans="2:6" x14ac:dyDescent="0.45">
      <c r="B769" s="12">
        <v>25</v>
      </c>
      <c r="C769" s="13">
        <v>42318</v>
      </c>
      <c r="D769" s="172">
        <v>0.5300462962986785</v>
      </c>
      <c r="E769" s="164" t="s">
        <v>28</v>
      </c>
      <c r="F769" s="15" t="s">
        <v>48</v>
      </c>
    </row>
    <row r="770" spans="2:6" x14ac:dyDescent="0.45">
      <c r="B770" s="12">
        <v>24</v>
      </c>
      <c r="C770" s="13">
        <v>42318</v>
      </c>
      <c r="D770" s="172">
        <v>0.51246527778130258</v>
      </c>
      <c r="E770" s="164" t="s">
        <v>28</v>
      </c>
      <c r="F770" s="15" t="s">
        <v>47</v>
      </c>
    </row>
    <row r="771" spans="2:6" x14ac:dyDescent="0.45">
      <c r="B771" s="12">
        <v>23</v>
      </c>
      <c r="C771" s="13">
        <v>42317</v>
      </c>
      <c r="D771" s="172">
        <v>0.63040509259008104</v>
      </c>
      <c r="E771" s="164" t="s">
        <v>28</v>
      </c>
      <c r="F771" s="15" t="s">
        <v>46</v>
      </c>
    </row>
    <row r="772" spans="2:6" x14ac:dyDescent="0.45">
      <c r="B772" s="12">
        <v>22</v>
      </c>
      <c r="C772" s="13">
        <v>42317</v>
      </c>
      <c r="D772" s="172">
        <v>0.60743055555212777</v>
      </c>
      <c r="E772" s="164" t="s">
        <v>28</v>
      </c>
      <c r="F772" s="14" t="s">
        <v>44</v>
      </c>
    </row>
    <row r="773" spans="2:6" ht="28.5" x14ac:dyDescent="0.45">
      <c r="B773" s="12">
        <v>21</v>
      </c>
      <c r="C773" s="13">
        <v>42317</v>
      </c>
      <c r="D773" s="172">
        <v>0.46622685185138835</v>
      </c>
      <c r="E773" s="164" t="s">
        <v>28</v>
      </c>
      <c r="F773" s="14" t="s">
        <v>45</v>
      </c>
    </row>
    <row r="774" spans="2:6" x14ac:dyDescent="0.45">
      <c r="B774" s="12">
        <v>20</v>
      </c>
      <c r="C774" s="13">
        <v>42314</v>
      </c>
      <c r="D774" s="172">
        <v>0.64325231481780065</v>
      </c>
      <c r="E774" s="164" t="s">
        <v>28</v>
      </c>
      <c r="F774" s="15" t="s">
        <v>43</v>
      </c>
    </row>
    <row r="775" spans="2:6" x14ac:dyDescent="0.45">
      <c r="B775" s="12">
        <v>19</v>
      </c>
      <c r="C775" s="13">
        <v>42314</v>
      </c>
      <c r="D775" s="172">
        <v>0.60967592592351139</v>
      </c>
      <c r="E775" s="164" t="s">
        <v>28</v>
      </c>
      <c r="F775" s="15" t="s">
        <v>42</v>
      </c>
    </row>
    <row r="776" spans="2:6" x14ac:dyDescent="0.45">
      <c r="B776" s="12">
        <v>18</v>
      </c>
      <c r="C776" s="13">
        <v>42314</v>
      </c>
      <c r="D776" s="172">
        <v>0.54354166666598758</v>
      </c>
      <c r="E776" s="164" t="s">
        <v>28</v>
      </c>
      <c r="F776" s="15" t="s">
        <v>41</v>
      </c>
    </row>
    <row r="777" spans="2:6" x14ac:dyDescent="0.45">
      <c r="B777" s="12">
        <v>17</v>
      </c>
      <c r="C777" s="13">
        <v>42313</v>
      </c>
      <c r="D777" s="172">
        <v>0.72728009259299142</v>
      </c>
      <c r="E777" s="164" t="s">
        <v>28</v>
      </c>
      <c r="F777" s="15" t="s">
        <v>40</v>
      </c>
    </row>
    <row r="778" spans="2:6" x14ac:dyDescent="0.45">
      <c r="B778" s="12">
        <v>16</v>
      </c>
      <c r="C778" s="13">
        <v>42313</v>
      </c>
      <c r="D778" s="172">
        <v>0.54888888888672227</v>
      </c>
      <c r="E778" s="164" t="s">
        <v>28</v>
      </c>
      <c r="F778" s="14" t="s">
        <v>39</v>
      </c>
    </row>
    <row r="779" spans="2:6" x14ac:dyDescent="0.45">
      <c r="B779" s="12">
        <v>15</v>
      </c>
      <c r="C779" s="13">
        <v>42313</v>
      </c>
      <c r="D779" s="172">
        <v>0.53451388888788642</v>
      </c>
      <c r="E779" s="164" t="s">
        <v>28</v>
      </c>
      <c r="F779" s="15" t="s">
        <v>38</v>
      </c>
    </row>
    <row r="780" spans="2:6" x14ac:dyDescent="0.45">
      <c r="B780" s="12">
        <v>14</v>
      </c>
      <c r="C780" s="13">
        <v>42313</v>
      </c>
      <c r="D780" s="172">
        <v>0.41828703703504289</v>
      </c>
      <c r="E780" s="164" t="s">
        <v>28</v>
      </c>
      <c r="F780" s="15" t="s">
        <v>37</v>
      </c>
    </row>
    <row r="781" spans="2:6" x14ac:dyDescent="0.45">
      <c r="B781" s="12">
        <v>13</v>
      </c>
      <c r="C781" s="13">
        <v>42312</v>
      </c>
      <c r="D781" s="172">
        <v>0.60749999999825377</v>
      </c>
      <c r="E781" s="164" t="s">
        <v>28</v>
      </c>
      <c r="F781" s="15" t="s">
        <v>36</v>
      </c>
    </row>
    <row r="782" spans="2:6" x14ac:dyDescent="0.45">
      <c r="B782" s="12">
        <v>12</v>
      </c>
      <c r="C782" s="13">
        <v>42312</v>
      </c>
      <c r="D782" s="172">
        <v>0.55173611111240461</v>
      </c>
      <c r="E782" s="164" t="s">
        <v>28</v>
      </c>
      <c r="F782" s="14" t="s">
        <v>35</v>
      </c>
    </row>
    <row r="783" spans="2:6" x14ac:dyDescent="0.45">
      <c r="B783" s="12">
        <v>11</v>
      </c>
      <c r="C783" s="13">
        <v>42312</v>
      </c>
      <c r="D783" s="172">
        <v>0.42408564814832062</v>
      </c>
      <c r="E783" s="164" t="s">
        <v>28</v>
      </c>
      <c r="F783" s="14" t="s">
        <v>34</v>
      </c>
    </row>
    <row r="784" spans="2:6" x14ac:dyDescent="0.45">
      <c r="B784" s="12">
        <v>10</v>
      </c>
      <c r="C784" s="13">
        <v>42311</v>
      </c>
      <c r="D784" s="172">
        <v>0.59112268518219935</v>
      </c>
      <c r="E784" s="164" t="s">
        <v>28</v>
      </c>
      <c r="F784" s="14" t="s">
        <v>33</v>
      </c>
    </row>
    <row r="785" spans="2:6" x14ac:dyDescent="0.45">
      <c r="B785" s="12">
        <v>9</v>
      </c>
      <c r="C785" s="13">
        <v>42310</v>
      </c>
      <c r="D785" s="172">
        <v>0.76089120370306773</v>
      </c>
      <c r="E785" s="164" t="s">
        <v>28</v>
      </c>
      <c r="F785" s="15" t="s">
        <v>31</v>
      </c>
    </row>
    <row r="786" spans="2:6" x14ac:dyDescent="0.45">
      <c r="B786" s="12">
        <v>8</v>
      </c>
      <c r="C786" s="13">
        <v>42310</v>
      </c>
      <c r="D786" s="172">
        <v>0.65609953703824431</v>
      </c>
      <c r="E786" s="164" t="s">
        <v>28</v>
      </c>
      <c r="F786" s="14" t="s">
        <v>30</v>
      </c>
    </row>
    <row r="787" spans="2:6" ht="42.75" x14ac:dyDescent="0.45">
      <c r="B787" s="8">
        <v>7</v>
      </c>
      <c r="C787" s="9">
        <v>42310</v>
      </c>
      <c r="D787" s="173">
        <v>0.72442129629780538</v>
      </c>
      <c r="E787" s="165" t="s">
        <v>28</v>
      </c>
      <c r="F787" s="10" t="s">
        <v>29</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1]!AuditMenu">
                <anchor moveWithCells="1">
                  <from>
                    <xdr:col>1</xdr:col>
                    <xdr:colOff>0</xdr:colOff>
                    <xdr:row>1</xdr:row>
                    <xdr:rowOff>0</xdr:rowOff>
                  </from>
                  <to>
                    <xdr:col>3</xdr:col>
                    <xdr:colOff>257175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Notes"/>
  <dimension ref="A1:B49"/>
  <sheetViews>
    <sheetView showGridLines="0" showRowColHeaders="0" zoomScaleNormal="100" workbookViewId="0"/>
  </sheetViews>
  <sheetFormatPr defaultRowHeight="14.25" x14ac:dyDescent="0.45"/>
  <cols>
    <col min="1" max="1" width="18" customWidth="1"/>
  </cols>
  <sheetData>
    <row r="1" spans="1:2" ht="28.5" x14ac:dyDescent="0.85">
      <c r="B1" s="11" t="s">
        <v>455</v>
      </c>
    </row>
    <row r="3" spans="1:2" x14ac:dyDescent="0.45">
      <c r="A3" t="s">
        <v>595</v>
      </c>
      <c r="B3" s="2" t="s">
        <v>180</v>
      </c>
    </row>
    <row r="4" spans="1:2" x14ac:dyDescent="0.45">
      <c r="A4" t="s">
        <v>495</v>
      </c>
      <c r="B4" s="25" t="s">
        <v>175</v>
      </c>
    </row>
    <row r="5" spans="1:2" x14ac:dyDescent="0.45">
      <c r="A5" t="s">
        <v>495</v>
      </c>
      <c r="B5" s="25" t="s">
        <v>177</v>
      </c>
    </row>
    <row r="6" spans="1:2" x14ac:dyDescent="0.45">
      <c r="A6" t="s">
        <v>495</v>
      </c>
      <c r="B6" s="25" t="s">
        <v>482</v>
      </c>
    </row>
    <row r="7" spans="1:2" x14ac:dyDescent="0.45">
      <c r="A7" t="s">
        <v>495</v>
      </c>
      <c r="B7" s="25" t="s">
        <v>178</v>
      </c>
    </row>
    <row r="8" spans="1:2" x14ac:dyDescent="0.45">
      <c r="A8" t="s">
        <v>495</v>
      </c>
      <c r="B8" s="45" t="s">
        <v>179</v>
      </c>
    </row>
    <row r="9" spans="1:2" x14ac:dyDescent="0.45">
      <c r="A9" t="s">
        <v>495</v>
      </c>
      <c r="B9" s="25" t="s">
        <v>483</v>
      </c>
    </row>
    <row r="10" spans="1:2" x14ac:dyDescent="0.45">
      <c r="A10" t="s">
        <v>495</v>
      </c>
      <c r="B10" s="25" t="s">
        <v>484</v>
      </c>
    </row>
    <row r="11" spans="1:2" x14ac:dyDescent="0.45">
      <c r="A11" t="s">
        <v>495</v>
      </c>
      <c r="B11" s="25" t="s">
        <v>485</v>
      </c>
    </row>
    <row r="12" spans="1:2" x14ac:dyDescent="0.45">
      <c r="B12" s="46" t="s">
        <v>199</v>
      </c>
    </row>
    <row r="13" spans="1:2" x14ac:dyDescent="0.45">
      <c r="B13" s="25" t="s">
        <v>486</v>
      </c>
    </row>
    <row r="14" spans="1:2" x14ac:dyDescent="0.45">
      <c r="B14" s="25" t="s">
        <v>497</v>
      </c>
    </row>
    <row r="15" spans="1:2" x14ac:dyDescent="0.45">
      <c r="B15" s="25" t="s">
        <v>498</v>
      </c>
    </row>
    <row r="16" spans="1:2" x14ac:dyDescent="0.45">
      <c r="B16" s="25" t="s">
        <v>499</v>
      </c>
    </row>
    <row r="17" spans="2:2" x14ac:dyDescent="0.45">
      <c r="B17" s="25" t="s">
        <v>500</v>
      </c>
    </row>
    <row r="18" spans="2:2" x14ac:dyDescent="0.45">
      <c r="B18" s="25" t="s">
        <v>501</v>
      </c>
    </row>
    <row r="19" spans="2:2" x14ac:dyDescent="0.45">
      <c r="B19" s="25" t="s">
        <v>502</v>
      </c>
    </row>
    <row r="20" spans="2:2" x14ac:dyDescent="0.45">
      <c r="B20" s="46" t="s">
        <v>597</v>
      </c>
    </row>
    <row r="21" spans="2:2" x14ac:dyDescent="0.45">
      <c r="B21" s="45" t="s">
        <v>598</v>
      </c>
    </row>
    <row r="22" spans="2:2" x14ac:dyDescent="0.45">
      <c r="B22" s="25" t="s">
        <v>599</v>
      </c>
    </row>
    <row r="24" spans="2:2" x14ac:dyDescent="0.45">
      <c r="B24" s="90" t="s">
        <v>596</v>
      </c>
    </row>
    <row r="25" spans="2:2" x14ac:dyDescent="0.45">
      <c r="B25" t="s">
        <v>253</v>
      </c>
    </row>
    <row r="26" spans="2:2" x14ac:dyDescent="0.45">
      <c r="B26" t="s">
        <v>254</v>
      </c>
    </row>
    <row r="27" spans="2:2" x14ac:dyDescent="0.45">
      <c r="B27" s="25" t="s">
        <v>255</v>
      </c>
    </row>
    <row r="28" spans="2:2" x14ac:dyDescent="0.45">
      <c r="B28" t="s">
        <v>256</v>
      </c>
    </row>
    <row r="29" spans="2:2" x14ac:dyDescent="0.45">
      <c r="B29" t="s">
        <v>261</v>
      </c>
    </row>
    <row r="30" spans="2:2" x14ac:dyDescent="0.45">
      <c r="B30" t="s">
        <v>257</v>
      </c>
    </row>
    <row r="33" spans="1:2" x14ac:dyDescent="0.45">
      <c r="B33" t="s">
        <v>600</v>
      </c>
    </row>
    <row r="36" spans="1:2" x14ac:dyDescent="0.45">
      <c r="B36" t="s">
        <v>882</v>
      </c>
    </row>
    <row r="38" spans="1:2" x14ac:dyDescent="0.45">
      <c r="A38" t="s">
        <v>884</v>
      </c>
      <c r="B38" s="25" t="s">
        <v>883</v>
      </c>
    </row>
    <row r="39" spans="1:2" x14ac:dyDescent="0.45">
      <c r="A39" t="s">
        <v>886</v>
      </c>
      <c r="B39" s="25" t="s">
        <v>887</v>
      </c>
    </row>
    <row r="40" spans="1:2" x14ac:dyDescent="0.45">
      <c r="A40" t="s">
        <v>885</v>
      </c>
      <c r="B40" t="s">
        <v>888</v>
      </c>
    </row>
    <row r="41" spans="1:2" x14ac:dyDescent="0.45">
      <c r="B41" s="25" t="s">
        <v>889</v>
      </c>
    </row>
    <row r="42" spans="1:2" x14ac:dyDescent="0.45">
      <c r="B42" s="25" t="s">
        <v>890</v>
      </c>
    </row>
    <row r="44" spans="1:2" x14ac:dyDescent="0.45">
      <c r="B44" s="45" t="s">
        <v>893</v>
      </c>
    </row>
    <row r="48" spans="1:2" x14ac:dyDescent="0.45">
      <c r="B48" s="45" t="s">
        <v>891</v>
      </c>
    </row>
    <row r="49" spans="2:2" x14ac:dyDescent="0.45">
      <c r="B49" s="25" t="s">
        <v>892</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631F04420627489C7E42CBEFB4B593" ma:contentTypeVersion="3" ma:contentTypeDescription="Create a new document." ma:contentTypeScope="" ma:versionID="c72e91a06e006700a02c6013ada678c5">
  <xsd:schema xmlns:xsd="http://www.w3.org/2001/XMLSchema" xmlns:xs="http://www.w3.org/2001/XMLSchema" xmlns:p="http://schemas.microsoft.com/office/2006/metadata/properties" xmlns:ns2="dae3be97-6925-4382-916b-c519e2654cc2" targetNamespace="http://schemas.microsoft.com/office/2006/metadata/properties" ma:root="true" ma:fieldsID="b59d96e112e1ba4691a77dfb3ec62e92" ns2:_="">
    <xsd:import namespace="dae3be97-6925-4382-916b-c519e2654cc2"/>
    <xsd:element name="properties">
      <xsd:complexType>
        <xsd:sequence>
          <xsd:element name="documentManagement">
            <xsd:complexType>
              <xsd:all>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e3be97-6925-4382-916b-c519e2654c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E9249F-E156-4402-8215-A8DBB47578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e3be97-6925-4382-916b-c519e2654c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256FB4-4C82-457F-A421-40EB244487B6}">
  <ds:schemaRefs>
    <ds:schemaRef ds:uri="http://schemas.microsoft.com/sharepoint/v3/contenttype/forms"/>
  </ds:schemaRefs>
</ds:datastoreItem>
</file>

<file path=customXml/itemProps3.xml><?xml version="1.0" encoding="utf-8"?>
<ds:datastoreItem xmlns:ds="http://schemas.openxmlformats.org/officeDocument/2006/customXml" ds:itemID="{CA986724-DEF7-4FC8-BF41-AF122527CBF3}">
  <ds:schemaRefs>
    <ds:schemaRef ds:uri="http://schemas.openxmlformats.org/package/2006/metadata/core-properties"/>
    <ds:schemaRef ds:uri="http://www.w3.org/XML/1998/namespace"/>
    <ds:schemaRef ds:uri="http://schemas.microsoft.com/office/2006/documentManagement/types"/>
    <ds:schemaRef ds:uri="http://purl.org/dc/terms/"/>
    <ds:schemaRef ds:uri="http://schemas.microsoft.com/office/2006/metadata/properties"/>
    <ds:schemaRef ds:uri="http://purl.org/dc/dcmitype/"/>
    <ds:schemaRef ds:uri="dae3be97-6925-4382-916b-c519e2654cc2"/>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60</vt:i4>
      </vt:variant>
    </vt:vector>
  </HeadingPairs>
  <TitlesOfParts>
    <vt:vector size="69" baseType="lpstr">
      <vt:lpstr>Portfolio</vt:lpstr>
      <vt:lpstr>xVADashboard</vt:lpstr>
      <vt:lpstr>HiddenSheet</vt:lpstr>
      <vt:lpstr>CashflowDrilldown</vt:lpstr>
      <vt:lpstr>CounterpartyViewer</vt:lpstr>
      <vt:lpstr>TradeViewer</vt:lpstr>
      <vt:lpstr>Config</vt:lpstr>
      <vt:lpstr>Audit</vt:lpstr>
      <vt:lpstr>Notes</vt:lpstr>
      <vt:lpstr>Config!AnchorDate</vt:lpstr>
      <vt:lpstr>Portfolio!BaseVCCY1Header</vt:lpstr>
      <vt:lpstr>xVADashboard!BottomHeaderRow</vt:lpstr>
      <vt:lpstr>Config!BuildModelFromDFsAndSurvProbs</vt:lpstr>
      <vt:lpstr>HiddenSheet!CapFloorTemplate</vt:lpstr>
      <vt:lpstr>Portfolio!Ccy1Header</vt:lpstr>
      <vt:lpstr>Portfolio!CptyHeader</vt:lpstr>
      <vt:lpstr>HiddenSheet!CrossCurrencySwapTemplate</vt:lpstr>
      <vt:lpstr>Config!DeveloperMode</vt:lpstr>
      <vt:lpstr>HiddenSheet!DisplayFormulaBar</vt:lpstr>
      <vt:lpstr>HiddenSheet!DisplayStatusBar</vt:lpstr>
      <vt:lpstr>Portfolio!EDHeader</vt:lpstr>
      <vt:lpstr>HiddenSheet!FixedCashflowsTemplate</vt:lpstr>
      <vt:lpstr>HiddenSheet!FxForwardStripTemplate</vt:lpstr>
      <vt:lpstr>HiddenSheet!FxForwardTemplate</vt:lpstr>
      <vt:lpstr>HiddenSheet!FxOptionStripTemplate</vt:lpstr>
      <vt:lpstr>HiddenSheet!FxOptionTemplate</vt:lpstr>
      <vt:lpstr>xVADashboard!HeaderCell1</vt:lpstr>
      <vt:lpstr>xVADashboard!HeaderCell2</vt:lpstr>
      <vt:lpstr>xVADashboard!HeaderCell3</vt:lpstr>
      <vt:lpstr>Audit!Headers</vt:lpstr>
      <vt:lpstr>Config!Headers</vt:lpstr>
      <vt:lpstr>HiddenSheet!Headers</vt:lpstr>
      <vt:lpstr>HiddenSheet!Help_on_Day_Count_Types</vt:lpstr>
      <vt:lpstr>CounterpartyViewer!Inc_Hypotheticals?</vt:lpstr>
      <vt:lpstr>HiddenSheet!InflationYoYSwapTemplate</vt:lpstr>
      <vt:lpstr>HiddenSheet!InflationZCSwapTemplate</vt:lpstr>
      <vt:lpstr>HiddenSheet!InputMessages</vt:lpstr>
      <vt:lpstr>HiddenSheet!InterestRateSwapTemplate</vt:lpstr>
      <vt:lpstr>Config!LinesWorkbook</vt:lpstr>
      <vt:lpstr>Config!MarketDataWorkbook</vt:lpstr>
      <vt:lpstr>HiddenSheet!MinimumWidths</vt:lpstr>
      <vt:lpstr>Portfolio!NbTrades</vt:lpstr>
      <vt:lpstr>Portfolio!Notional1Header</vt:lpstr>
      <vt:lpstr>Config!Numeraire</vt:lpstr>
      <vt:lpstr>Config!NumSims</vt:lpstr>
      <vt:lpstr>Config!NumSimsCVA</vt:lpstr>
      <vt:lpstr>Portfolio!NumTradesShown</vt:lpstr>
      <vt:lpstr>Config!OnValuationErrors</vt:lpstr>
      <vt:lpstr>Config!OurName</vt:lpstr>
      <vt:lpstr>Config!PartitionByTrade</vt:lpstr>
      <vt:lpstr>Config!PFEPercentile</vt:lpstr>
      <vt:lpstr>Portfolio!PortfolioHeader</vt:lpstr>
      <vt:lpstr>HiddenSheet!RegKeys</vt:lpstr>
      <vt:lpstr>Config!RestoreTradesAtStartup</vt:lpstr>
      <vt:lpstr>Config!SavePaths</vt:lpstr>
      <vt:lpstr>Portfolio!SDHeader</vt:lpstr>
      <vt:lpstr>CounterpartyViewer!SelectedCpty</vt:lpstr>
      <vt:lpstr>TradeViewer!SelectedTrade</vt:lpstr>
      <vt:lpstr>HiddenSheet!SheetSettings</vt:lpstr>
      <vt:lpstr>HiddenSheet!SingleRowHeaders</vt:lpstr>
      <vt:lpstr>HiddenSheet!SwaptionTemplate</vt:lpstr>
      <vt:lpstr>Portfolio!TheFilters</vt:lpstr>
      <vt:lpstr>Config!TimeGap</vt:lpstr>
      <vt:lpstr>Portfolio!TotalPV</vt:lpstr>
      <vt:lpstr>CounterpartyViewer!TradeDataWithHeaders</vt:lpstr>
      <vt:lpstr>Portfolio!TradesFileName</vt:lpstr>
      <vt:lpstr>Config!UseCachedModel</vt:lpstr>
      <vt:lpstr>Config!UseLinux</vt:lpstr>
      <vt:lpstr>Config!UseThreads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philip.swannell@solum-financial.com</dc:creator>
  <cp:lastModifiedBy>Philip Swannell</cp:lastModifiedBy>
  <cp:lastPrinted>2016-05-09T10:39:39Z</cp:lastPrinted>
  <dcterms:created xsi:type="dcterms:W3CDTF">2015-07-01T13:39:42Z</dcterms:created>
  <dcterms:modified xsi:type="dcterms:W3CDTF">2022-04-19T17:27:47Z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0x010100B3631F04420627489C7E42CBEFB4B593</vt:lpwstr>
  </property>
</Properties>
</file>