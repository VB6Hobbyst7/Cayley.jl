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42.xml" ContentType="application/vnd.ms-excel.controlproperties+xml"/>
  <Override PartName="/xl/drawings/drawing3.xml" ContentType="application/vnd.openxmlformats-officedocument.drawing+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drawings/drawing4.xml" ContentType="application/vnd.openxmlformats-officedocument.drawing+xml"/>
  <Override PartName="/xl/ctrlProps/ctrlProp46.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mc:AlternateContent xmlns:mc="http://schemas.openxmlformats.org/markup-compatibility/2006">
    <mc:Choice Requires="x15">
      <x15ac:absPath xmlns:x15ac="http://schemas.microsoft.com/office/spreadsheetml/2010/11/ac" url="C:\Projects\Cayley\workbooks\"/>
    </mc:Choice>
  </mc:AlternateContent>
  <xr:revisionPtr revIDLastSave="0" documentId="13_ncr:1_{FEAA8681-0BC2-4A9F-89AB-BE61E2C6D0A7}" xr6:coauthVersionLast="47" xr6:coauthVersionMax="47" xr10:uidLastSave="{00000000-0000-0000-0000-000000000000}"/>
  <bookViews>
    <workbookView xWindow="-120" yWindow="-120" windowWidth="38640" windowHeight="21240" xr2:uid="{00000000-000D-0000-FFFF-FFFF00000000}"/>
  </bookViews>
  <sheets>
    <sheet name="Summary" sheetId="1" r:id="rId1"/>
    <sheet name="Comments" sheetId="7" state="hidden" r:id="rId2"/>
    <sheet name="EditNotionalWeights" sheetId="6" state="hidden" r:id="rId3"/>
    <sheet name="Audit" sheetId="5" r:id="rId4"/>
  </sheets>
  <functionGroups builtInGroupCount="19"/>
  <externalReferences>
    <externalReference r:id="rId5"/>
  </externalReferences>
  <definedNames>
    <definedName name="Headers" localSheetId="3">Audit!$A$5:$E$5</definedName>
    <definedName name="Headers">Table1[#Headers]</definedName>
    <definedName name="TheDataWithHeaders" localSheetId="1">Comments!$B$4:$G$44</definedName>
  </definedNames>
  <calcPr calcId="191029" calcMode="manual"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A7" authorId="0" shapeId="0" xr:uid="{00000000-0006-0000-0000-000001000000}">
      <text>
        <r>
          <rPr>
            <sz val="11"/>
            <color indexed="81"/>
            <rFont val="Calibri"/>
            <family val="2"/>
          </rPr>
          <t>A very short version of the bank’s name. Example: Tok Mit. Used as data labels in charts.</t>
        </r>
      </text>
    </comment>
    <comment ref="B7" authorId="0" shapeId="0" xr:uid="{00000000-0006-0000-0000-000002000000}">
      <text>
        <r>
          <rPr>
            <sz val="11"/>
            <color indexed="81"/>
            <rFont val="Calibri"/>
            <family val="2"/>
          </rPr>
          <t>A longer version of the bank’s name, used in the Cayley and SCRiPT workbooks as annotation in “pick lists”. Example: BANK OF TOKYO</t>
        </r>
      </text>
    </comment>
    <comment ref="C7" authorId="0" shapeId="0" xr:uid="{00000000-0006-0000-0000-000003000000}">
      <text>
        <r>
          <rPr>
            <sz val="11"/>
            <color indexed="81"/>
            <rFont val="Calibri"/>
            <family val="2"/>
          </rPr>
          <t>The name of the bank e.g. BOTK_JP_TYO i.e. text in the form that appears in the CPTY_PARENT field of the Trades workbook.</t>
        </r>
      </text>
    </comment>
    <comment ref="D7" authorId="0" shapeId="0" xr:uid="{00000000-0006-0000-0000-000004000000}">
      <text>
        <r>
          <rPr>
            <sz val="11"/>
            <color indexed="81"/>
            <rFont val="Calibri"/>
            <family val="2"/>
          </rPr>
          <t>The banks methodology for credit line calculation, read from the lines workbook. Allowed values are: MONTE CARLO, NOTIONAL BASED</t>
        </r>
      </text>
    </comment>
    <comment ref="E7" authorId="0" shapeId="0" xr:uid="{00000000-0006-0000-0000-000005000000}">
      <text>
        <r>
          <rPr>
            <sz val="11"/>
            <color indexed="81"/>
            <rFont val="Calibri"/>
            <family val="2"/>
          </rPr>
          <t>In the case of banks that use a MONTE CARLO methodology this is the confidence level used when generating the PFE which is to be compared with the credit lines. Confidence is generally in the range 95% to 99% with a higher number leading to greater line usage for a given set of trades.</t>
        </r>
      </text>
    </comment>
    <comment ref="F7" authorId="0" shapeId="0" xr:uid="{00000000-0006-0000-0000-000006000000}">
      <text>
        <r>
          <rPr>
            <sz val="11"/>
            <color indexed="81"/>
            <rFont val="Calibri"/>
            <family val="2"/>
          </rPr>
          <t>Allowed values: ‘Shortfall’, ‘Quantile’ If Quantile then the PFE calculated is the given ‘Confidence %’ quantile of future portfolio values. If Shortfall then the PFE calculated is the expectation of future portfolio value, conditional on portfolio value being above the stated percentile in the distribution.</t>
        </r>
      </text>
    </comment>
    <comment ref="G7" authorId="0" shapeId="0" xr:uid="{00000000-0006-0000-0000-000007000000}">
      <text>
        <r>
          <rPr>
            <sz val="11"/>
            <color indexed="81"/>
            <rFont val="Calibri"/>
            <family val="2"/>
          </rPr>
          <t>Does the bank use market-implied or historical volatilities for PFE calculation?</t>
        </r>
      </text>
    </comment>
    <comment ref="H7" authorId="0" shapeId="0" xr:uid="{00000000-0006-0000-0000-000008000000}">
      <text>
        <r>
          <rPr>
            <sz val="11"/>
            <color indexed="81"/>
            <rFont val="Calibri"/>
            <family val="2"/>
          </rPr>
          <t>The currency in which the bank denominates its credit lines</t>
        </r>
      </text>
    </comment>
    <comment ref="I7" authorId="0" shapeId="0" xr:uid="{00000000-0006-0000-0000-000009000000}">
      <text>
        <r>
          <rPr>
            <sz val="11"/>
            <color indexed="81"/>
            <rFont val="Calibri"/>
            <family val="2"/>
          </rPr>
          <t>Some banks enforce a limit on the total absolute notional of trades they execute with Airbus. If so that limit should be entered here.</t>
        </r>
      </text>
    </comment>
    <comment ref="J7" authorId="0" shapeId="0" xr:uid="{00000000-0006-0000-0000-00000A000000}">
      <text>
        <r>
          <rPr>
            <sz val="11"/>
            <color indexed="81"/>
            <rFont val="Calibri"/>
            <family val="2"/>
          </rPr>
          <t>Describes the bank’s approach to amalgamating credit utilisation between their Fx business and Rates business with Airbus. Possible values are: Global Calculation, Global Limit &amp; Calculation by Product, Calculation &amp; Limit by Product</t>
        </r>
      </text>
    </comment>
    <comment ref="K7" authorId="0" shapeId="0" xr:uid="{00000000-0006-0000-0000-00000B000000}">
      <text>
        <r>
          <rPr>
            <sz val="11"/>
            <color indexed="81"/>
            <rFont val="Calibri"/>
            <family val="2"/>
          </rPr>
          <t>Relevant for banks using a ‘NOTIONAL BASED’ methodology. Encapsulation of the maturity-dependent notional weights used by the bank in the notional-based credit usage calculation for Fx forwards, options and cross currency swaps. Double-click to edit.</t>
        </r>
      </text>
    </comment>
    <comment ref="L7" authorId="0" shapeId="0" xr:uid="{00000000-0006-0000-0000-00000C000000}">
      <text>
        <r>
          <rPr>
            <sz val="11"/>
            <color indexed="81"/>
            <rFont val="Calibri"/>
            <family val="2"/>
          </rPr>
          <t>Relevant for banks using a ‘NOTIONAL BASED’ methodology. Encapsulation of the maturity-dependent notional weights used by the bank in the notional-based credit usage calculation for interest rate swaps. Double-click to edit.</t>
        </r>
      </text>
    </comment>
    <comment ref="M7" authorId="0" shapeId="0" xr:uid="{00000000-0006-0000-0000-00000D000000}">
      <text>
        <r>
          <rPr>
            <sz val="11"/>
            <color indexed="81"/>
            <rFont val="Calibri"/>
            <family val="2"/>
          </rPr>
          <t xml:space="preserve">Describes interpolation between annual grid points in the "Credit Limit term structure". Allowed values: "FlatToRight" The (say) 3Y limit defines the limit at 3 1/2 years. "Linear" the 3 1/2 year limit is the linear interpolation between (i.e. average of) the limits at 3 years and 4 years.
</t>
        </r>
      </text>
    </comment>
    <comment ref="N7" authorId="0" shapeId="0" xr:uid="{00000000-0006-0000-0000-00000E000000}">
      <text>
        <r>
          <rPr>
            <sz val="11"/>
            <color indexed="81"/>
            <rFont val="Calibri"/>
            <family val="2"/>
          </rPr>
          <t>One year credit limit in base currency terms</t>
        </r>
      </text>
    </comment>
    <comment ref="O7" authorId="0" shapeId="0" xr:uid="{00000000-0006-0000-0000-00000F000000}">
      <text>
        <r>
          <rPr>
            <sz val="11"/>
            <color indexed="81"/>
            <rFont val="Calibri"/>
            <family val="2"/>
          </rPr>
          <t>Two year credit limit in base currency terms</t>
        </r>
      </text>
    </comment>
    <comment ref="P7" authorId="0" shapeId="0" xr:uid="{00000000-0006-0000-0000-000010000000}">
      <text>
        <r>
          <rPr>
            <sz val="11"/>
            <color indexed="81"/>
            <rFont val="Calibri"/>
            <family val="2"/>
          </rPr>
          <t>Three year credit limit in base currency terms</t>
        </r>
      </text>
    </comment>
    <comment ref="Q7" authorId="0" shapeId="0" xr:uid="{00000000-0006-0000-0000-000011000000}">
      <text>
        <r>
          <rPr>
            <sz val="11"/>
            <color indexed="81"/>
            <rFont val="Calibri"/>
            <family val="2"/>
          </rPr>
          <t>Four year credit limit in base currency terms</t>
        </r>
      </text>
    </comment>
    <comment ref="R7" authorId="0" shapeId="0" xr:uid="{00000000-0006-0000-0000-000012000000}">
      <text>
        <r>
          <rPr>
            <sz val="11"/>
            <color indexed="81"/>
            <rFont val="Calibri"/>
            <family val="2"/>
          </rPr>
          <t>Five year credit limit in base currency terms</t>
        </r>
      </text>
    </comment>
    <comment ref="S7" authorId="0" shapeId="0" xr:uid="{00000000-0006-0000-0000-000013000000}">
      <text>
        <r>
          <rPr>
            <sz val="11"/>
            <color indexed="81"/>
            <rFont val="Calibri"/>
            <family val="2"/>
          </rPr>
          <t>Seven year credit limit in base currency terms</t>
        </r>
      </text>
    </comment>
    <comment ref="T7" authorId="0" shapeId="0" xr:uid="{00000000-0006-0000-0000-000014000000}">
      <text>
        <r>
          <rPr>
            <sz val="11"/>
            <color indexed="81"/>
            <rFont val="Calibri"/>
            <family val="2"/>
          </rPr>
          <t>Ten year credit limit in base currency terms</t>
        </r>
      </text>
    </comment>
    <comment ref="U7" authorId="0" shapeId="0" xr:uid="{00000000-0006-0000-0000-000015000000}">
      <text>
        <r>
          <rPr>
            <sz val="11"/>
            <color indexed="81"/>
            <rFont val="Calibri"/>
            <family val="2"/>
          </rPr>
          <t>Line exhaustion level in EUR/USD assessed by counterparties</t>
        </r>
      </text>
    </comment>
    <comment ref="V7" authorId="0" shapeId="0" xr:uid="{00000000-0006-0000-0000-000016000000}">
      <text>
        <r>
          <rPr>
            <sz val="11"/>
            <color indexed="81"/>
            <rFont val="Calibri"/>
            <family val="2"/>
          </rPr>
          <t>1Y Trade headroom assessed by counterparty</t>
        </r>
      </text>
    </comment>
    <comment ref="W7" authorId="0" shapeId="0" xr:uid="{00000000-0006-0000-0000-000017000000}">
      <text>
        <r>
          <rPr>
            <sz val="11"/>
            <color indexed="81"/>
            <rFont val="Calibri"/>
            <family val="2"/>
          </rPr>
          <t>3Y Trade headroom assessed by counterparty</t>
        </r>
      </text>
    </comment>
    <comment ref="Y7" authorId="0" shapeId="0" xr:uid="{00000000-0006-0000-0000-000018000000}">
      <text>
        <r>
          <rPr>
            <sz val="11"/>
            <color indexed="81"/>
            <rFont val="Calibri"/>
            <family val="2"/>
          </rPr>
          <t>Additional comments collected from credit survey</t>
        </r>
      </text>
    </comment>
    <comment ref="Z7" authorId="0" shapeId="0" xr:uid="{00000000-0006-0000-0000-000019000000}">
      <text>
        <r>
          <rPr>
            <sz val="11"/>
            <color indexed="81"/>
            <rFont val="Calibri"/>
            <family val="2"/>
          </rPr>
          <t>The method used for calculating the “RiskWeight” within the “DefaultCVA” component of capital. Allowed values: ‘IRB’ and ‘STD’ (standing for ‘Internal Ratings Based’ and ‘Standard’)</t>
        </r>
      </text>
    </comment>
    <comment ref="AA7" authorId="0" shapeId="0" xr:uid="{00000000-0006-0000-0000-00001A000000}">
      <text>
        <r>
          <rPr>
            <sz val="11"/>
            <color indexed="81"/>
            <rFont val="Calibri"/>
            <family val="2"/>
          </rPr>
          <t>Banks may use one of two methods for calculating the “Exposure at Default” (EaD) and one of two methods for calculating the CVA capital charge. The two methods for EaD are ‘IMM’ and ‘CEM’ and the two methods for the CVA capital charge are ‘STD’ and ‘ADV’. This column of the lines workbook gives both methods used by the bank with allowed values: ‘IMM/STD’, ‘IMM/ADV’, ‘CEM/STD’</t>
        </r>
      </text>
    </comment>
    <comment ref="AB7" authorId="0" shapeId="0" xr:uid="{00000000-0006-0000-0000-00001B000000}">
      <text>
        <r>
          <rPr>
            <sz val="11"/>
            <color indexed="81"/>
            <rFont val="Calibri"/>
            <family val="2"/>
          </rPr>
          <t>Whether the bank is currently exempt from calculating the CVA VaR component of capital for its trades with Airbus
Allowed values: TRUE, FALSE</t>
        </r>
      </text>
    </comment>
    <comment ref="AC7" authorId="0" shapeId="0" xr:uid="{00000000-0006-0000-0000-00001C000000}">
      <text>
        <r>
          <rPr>
            <sz val="11"/>
            <color indexed="81"/>
            <rFont val="Calibri"/>
            <family val="2"/>
          </rPr>
          <t>The bank’s required return on RWAs (i.e. the KVA) is this percentage of the discounted RWAs. Typical value: 3%</t>
        </r>
      </text>
    </comment>
    <comment ref="AD7" authorId="0" shapeId="0" xr:uid="{00000000-0006-0000-0000-00001D000000}">
      <text>
        <r>
          <rPr>
            <sz val="11"/>
            <color indexed="81"/>
            <rFont val="Calibri"/>
            <family val="2"/>
          </rPr>
          <t>The discount rate used in capital calculations to discount expected future RWAs back to a total “Discounted RWAs” of which the KVA is a percentage. Typical value: 10%</t>
        </r>
      </text>
    </comment>
    <comment ref="AE7" authorId="0" shapeId="0" xr:uid="{00000000-0006-0000-0000-00001E000000}">
      <text>
        <r>
          <rPr>
            <sz val="11"/>
            <color indexed="81"/>
            <rFont val="Calibri"/>
            <family val="2"/>
          </rPr>
          <t>Used (if the “Advanced’ method is employed) for calculating the CVA VaR component of Capital. Typical value: 40%</t>
        </r>
      </text>
    </comment>
    <comment ref="AF7" authorId="0" shapeId="0" xr:uid="{00000000-0006-0000-0000-00001F000000}">
      <text>
        <r>
          <rPr>
            <sz val="11"/>
            <color indexed="81"/>
            <rFont val="Calibri"/>
            <family val="2"/>
          </rPr>
          <t>Used (if the “Advanced’ method is employed) for calculating the CVA VaR component of Capital. Typical value: 75%</t>
        </r>
      </text>
    </comment>
    <comment ref="AG7" authorId="0" shapeId="0" xr:uid="{00000000-0006-0000-0000-000020000000}">
      <text>
        <r>
          <rPr>
            <sz val="11"/>
            <color indexed="81"/>
            <rFont val="Calibri"/>
            <family val="2"/>
          </rPr>
          <t>Used (if the “Standard’ method is employed) for calculating the CVA VaR component of Capital. A measure of the diversity of the bank’s portfolio in terms of the number of counterparties that the bank faces.</t>
        </r>
      </text>
    </comment>
    <comment ref="AI7" authorId="0" shapeId="0" xr:uid="{00000000-0006-0000-0000-000021000000}">
      <text>
        <r>
          <rPr>
            <sz val="11"/>
            <color indexed="81"/>
            <rFont val="Calibri"/>
            <family val="2"/>
          </rPr>
          <t>A component to the RiskWeight calculation when RiskWeightMethod is ‘IRB’. Typical value 0.1%</t>
        </r>
      </text>
    </comment>
    <comment ref="AJ7" authorId="0" shapeId="0" xr:uid="{00000000-0006-0000-0000-000022000000}">
      <text>
        <r>
          <rPr>
            <sz val="11"/>
            <color indexed="81"/>
            <rFont val="Calibri"/>
            <family val="2"/>
          </rPr>
          <t>Used (if the “Advanced’ method is employed) for calculating the CVA VaR component of Capital. Typical value: 40%</t>
        </r>
      </text>
    </comment>
    <comment ref="AK7" authorId="0" shapeId="0" xr:uid="{00000000-0006-0000-0000-000023000000}">
      <text>
        <r>
          <rPr>
            <sz val="11"/>
            <color indexed="81"/>
            <rFont val="Calibri"/>
            <family val="2"/>
          </rPr>
          <t>An input to the IMM calculation of Default CVA. Typical value 1.4</t>
        </r>
      </text>
    </comment>
    <comment ref="AL7" authorId="0" shapeId="0" xr:uid="{00000000-0006-0000-0000-000024000000}">
      <text>
        <r>
          <rPr>
            <sz val="11"/>
            <color indexed="81"/>
            <rFont val="Calibri"/>
            <family val="2"/>
          </rPr>
          <t xml:space="preserve">A multiplier applied to the CVA VaR component of capital to account for the effectiveness (or otherwise) of banks’ credit hedging activities. </t>
        </r>
      </text>
    </comment>
    <comment ref="AM7" authorId="0" shapeId="0" xr:uid="{00000000-0006-0000-0000-000025000000}">
      <text>
        <r>
          <rPr>
            <sz val="11"/>
            <color indexed="81"/>
            <rFont val="Calibri"/>
            <family val="2"/>
          </rPr>
          <t>The SCRiPT workbook displays xVA as a weighted sum of CVA, DVA, FVA and KVA this value is the weight applied to the DVA. Typical value: 50%</t>
        </r>
      </text>
    </comment>
    <comment ref="AN7" authorId="0" shapeId="0" xr:uid="{00000000-0006-0000-0000-000026000000}">
      <text>
        <r>
          <rPr>
            <sz val="11"/>
            <color indexed="81"/>
            <rFont val="Calibri"/>
            <family val="2"/>
          </rPr>
          <t>The SCRiPT workbook displays xVA as a weighted sum of CVA, DVA, FVA and KVA this value is the weight applied to the FVA. Typical value: 100%</t>
        </r>
      </text>
    </comment>
  </commentList>
</comments>
</file>

<file path=xl/sharedStrings.xml><?xml version="1.0" encoding="utf-8"?>
<sst xmlns="http://schemas.openxmlformats.org/spreadsheetml/2006/main" count="853" uniqueCount="304">
  <si>
    <t>Confidence %</t>
  </si>
  <si>
    <t>Volatility Input</t>
  </si>
  <si>
    <t>Base Currency</t>
  </si>
  <si>
    <t>Product Credit Limits</t>
  </si>
  <si>
    <t>1Y Limit</t>
  </si>
  <si>
    <t>2Y Limit</t>
  </si>
  <si>
    <t>3Y Limit</t>
  </si>
  <si>
    <t>4Y Limit</t>
  </si>
  <si>
    <t>5Y Limit</t>
  </si>
  <si>
    <t>7Y Limit</t>
  </si>
  <si>
    <t>10Y Limit</t>
  </si>
  <si>
    <t>Spot Max</t>
  </si>
  <si>
    <t>Extension Comments</t>
  </si>
  <si>
    <t>ANZ</t>
  </si>
  <si>
    <t>ANZB_AU_MEL</t>
  </si>
  <si>
    <t>MONTE CARLO</t>
  </si>
  <si>
    <t>HISTORICAL</t>
  </si>
  <si>
    <t>USD</t>
  </si>
  <si>
    <t>Global Calculation</t>
  </si>
  <si>
    <t>FlatToRight</t>
  </si>
  <si>
    <t>Hard Credit Limits</t>
  </si>
  <si>
    <t>BBVA</t>
  </si>
  <si>
    <t>BBVA_ES_MAD</t>
  </si>
  <si>
    <t>EUR</t>
  </si>
  <si>
    <t>Calculation &amp; Limit by Product</t>
  </si>
  <si>
    <t>BARCLAYS</t>
  </si>
  <si>
    <t>BARC_GB_LON</t>
  </si>
  <si>
    <t>Global Limit &amp; Calculation by Product</t>
  </si>
  <si>
    <t>BAYERN LB</t>
  </si>
  <si>
    <t>BYLA_DE_MUC</t>
  </si>
  <si>
    <t>BNPA_FR_PAR</t>
  </si>
  <si>
    <t>Extension subject to credit hedging</t>
  </si>
  <si>
    <t>BANK OF AMERICA</t>
  </si>
  <si>
    <t>BOFA_US_NYC</t>
  </si>
  <si>
    <t>MARKET IMPLIED</t>
  </si>
  <si>
    <t>Additional reserve to cover for market moves</t>
  </si>
  <si>
    <t>BANK OF CHINA</t>
  </si>
  <si>
    <t>BKCH_CN_BJS</t>
  </si>
  <si>
    <t>NOTIONAL BASED</t>
  </si>
  <si>
    <t>BANK OF TOKYO</t>
  </si>
  <si>
    <t>BOTK_JP_TYO</t>
  </si>
  <si>
    <t>CREDIT ARICOLE CIB</t>
  </si>
  <si>
    <t>AGRI_FR_PAR</t>
  </si>
  <si>
    <t>COMMONWEALTH BANK</t>
  </si>
  <si>
    <t>CTBA_AU_SYD</t>
  </si>
  <si>
    <t>Linear</t>
  </si>
  <si>
    <t>CITIBANK</t>
  </si>
  <si>
    <t>CITI_US_NYC</t>
  </si>
  <si>
    <t>CIBC_CA_TOR</t>
  </si>
  <si>
    <t>CIC</t>
  </si>
  <si>
    <t>BFCM_FR_PAR</t>
  </si>
  <si>
    <t>COBA_DE_FRA</t>
  </si>
  <si>
    <t>DZ BANK</t>
  </si>
  <si>
    <t>GENO_DE_FRA</t>
  </si>
  <si>
    <t>GOLDMAN SACHS</t>
  </si>
  <si>
    <t>GSGI_US_NYC</t>
  </si>
  <si>
    <t>HSBC</t>
  </si>
  <si>
    <t>HSBC_GB_LON</t>
  </si>
  <si>
    <t>DEUT_DE_FRA</t>
  </si>
  <si>
    <t>DBS BANK</t>
  </si>
  <si>
    <t>DBSS_SG_SIN</t>
  </si>
  <si>
    <t>HELABA</t>
  </si>
  <si>
    <t>HELA_DE_FRA</t>
  </si>
  <si>
    <t>ING BANK</t>
  </si>
  <si>
    <t>INGB_NL_AMS</t>
  </si>
  <si>
    <t>JP MORGAN CHASE</t>
  </si>
  <si>
    <t>CHAS_US_NYC</t>
  </si>
  <si>
    <t>LBBW_DE_STR</t>
  </si>
  <si>
    <t>LLOYDS BANK</t>
  </si>
  <si>
    <t>GBP</t>
  </si>
  <si>
    <t>MACQUARIE</t>
  </si>
  <si>
    <t>MACQ_AU_SYD</t>
  </si>
  <si>
    <t>MIZUHO LONDON</t>
  </si>
  <si>
    <t>MHCB_JP_TYO</t>
  </si>
  <si>
    <t>MORGAN STANLEY</t>
  </si>
  <si>
    <t>MSCS_US_NYC</t>
  </si>
  <si>
    <t>BPCE_FR_PAR</t>
  </si>
  <si>
    <t>NAT BANK ABU DHABI</t>
  </si>
  <si>
    <t>NBAD_AE_AUH</t>
  </si>
  <si>
    <t>NOVA SCOTIA</t>
  </si>
  <si>
    <t>NOSC_CA_TOR</t>
  </si>
  <si>
    <t>RBC</t>
  </si>
  <si>
    <t>ROYC_CA_TOR</t>
  </si>
  <si>
    <t>RBOS_GB_LON</t>
  </si>
  <si>
    <t>BSCH_ES_MAD</t>
  </si>
  <si>
    <t>SKANDINAVISKA ENSKILDA</t>
  </si>
  <si>
    <t>ESSE_SE_STO</t>
  </si>
  <si>
    <t>SOCGEN</t>
  </si>
  <si>
    <t>SOGE_FR_PAR</t>
  </si>
  <si>
    <t>STANDARD CHARTERED</t>
  </si>
  <si>
    <t>SCGP_GB_LON</t>
  </si>
  <si>
    <t>STATE STREET BANK</t>
  </si>
  <si>
    <t>SBOS_US_NYC</t>
  </si>
  <si>
    <t>SUMITOMO MITSUI DUS</t>
  </si>
  <si>
    <t>SMBC_JP_TYO</t>
  </si>
  <si>
    <t>TORONTO DOMINION</t>
  </si>
  <si>
    <t>TDOM_CA_TOR</t>
  </si>
  <si>
    <t>UBS</t>
  </si>
  <si>
    <t>UBSW_CH_ZRH</t>
  </si>
  <si>
    <t>CHF</t>
  </si>
  <si>
    <t>UNICREDIT HVB</t>
  </si>
  <si>
    <t>HYVE_DE_MUC</t>
  </si>
  <si>
    <t>WPAC_AU_SYD</t>
  </si>
  <si>
    <t>NATIONAL AUSTRALIA</t>
  </si>
  <si>
    <t>NATA_AU_MEL</t>
  </si>
  <si>
    <t>Extension subject to internal approval</t>
  </si>
  <si>
    <t>WELL_US_SFO</t>
  </si>
  <si>
    <t>Extension subject to credit mitigation (CSA)</t>
  </si>
  <si>
    <t>NOMA_JP_TYO</t>
  </si>
  <si>
    <t>ICBK_CN_BJS</t>
  </si>
  <si>
    <t>Additional reserve to cover for market moves. Shortfall</t>
  </si>
  <si>
    <t>Notional Cap</t>
  </si>
  <si>
    <t>CPTY_PARENT</t>
  </si>
  <si>
    <t>CPTY LONG NAME</t>
  </si>
  <si>
    <t>METHODOLOGY</t>
  </si>
  <si>
    <t>Very short name</t>
  </si>
  <si>
    <t>B of A</t>
  </si>
  <si>
    <t>B of C</t>
  </si>
  <si>
    <t>Tok Mit</t>
  </si>
  <si>
    <t>Barclays</t>
  </si>
  <si>
    <t>Bayern LB</t>
  </si>
  <si>
    <t>BNP</t>
  </si>
  <si>
    <t>CIBC</t>
  </si>
  <si>
    <t>Citi</t>
  </si>
  <si>
    <t>Commerz</t>
  </si>
  <si>
    <t>CBA</t>
  </si>
  <si>
    <t>CA-CIB</t>
  </si>
  <si>
    <t>DBS</t>
  </si>
  <si>
    <t>DB</t>
  </si>
  <si>
    <t>DZ</t>
  </si>
  <si>
    <t>GS</t>
  </si>
  <si>
    <t>Helaba</t>
  </si>
  <si>
    <t>ICBC</t>
  </si>
  <si>
    <t>ING</t>
  </si>
  <si>
    <t>JPM</t>
  </si>
  <si>
    <t>LBBW</t>
  </si>
  <si>
    <t>Lloyds</t>
  </si>
  <si>
    <t>Mqrie</t>
  </si>
  <si>
    <t>Mizuho</t>
  </si>
  <si>
    <t>MS</t>
  </si>
  <si>
    <t>NAB</t>
  </si>
  <si>
    <t>NBAD</t>
  </si>
  <si>
    <t>Natixis</t>
  </si>
  <si>
    <t>Nom</t>
  </si>
  <si>
    <t>Nova Scotia</t>
  </si>
  <si>
    <t>RBS</t>
  </si>
  <si>
    <t>Sant</t>
  </si>
  <si>
    <t>SEB</t>
  </si>
  <si>
    <t>Soc Gen</t>
  </si>
  <si>
    <t>St Chart</t>
  </si>
  <si>
    <t>State Street</t>
  </si>
  <si>
    <t>Sumit Duss</t>
  </si>
  <si>
    <t>TD</t>
  </si>
  <si>
    <t>Unicredit</t>
  </si>
  <si>
    <t>Wls Fgo</t>
  </si>
  <si>
    <t>Westpac</t>
  </si>
  <si>
    <t>Shortfall or Quantile</t>
  </si>
  <si>
    <t>Quantile</t>
  </si>
  <si>
    <t>Shortfall</t>
  </si>
  <si>
    <t>Line Interp.</t>
  </si>
  <si>
    <t>THR Bank 1Y</t>
  </si>
  <si>
    <t>THR Bank 3Y</t>
  </si>
  <si>
    <t>Airbus THR 3Y</t>
  </si>
  <si>
    <t>Version</t>
  </si>
  <si>
    <t>Date</t>
  </si>
  <si>
    <t>Time</t>
  </si>
  <si>
    <t>Author</t>
  </si>
  <si>
    <t>Comment</t>
  </si>
  <si>
    <t>Philip Swannell</t>
  </si>
  <si>
    <t>Cayley Lines workbook Audit sheet</t>
  </si>
  <si>
    <t>1) Added this Audit sheet.
2) Corrected the text of some some headers (including '3Y Notional' -&gt; 'THR Bank 1Y' and '5Y Notional' -&gt; 'THR Bank 3Y' is there a mistake here?).
3) Converted the data to a "Table", and will change the code of the Cayley workbook to look for a table on a sheet called 'Summary'.
4) Added column for 'Shortfall or Quantile'.
5) Deleted column 'Notional Limit' since there existed a column 'Notional Cap' with identical contents.
6) Added column 'Airbus THR 3Y'</t>
  </si>
  <si>
    <t>COMMERZBANK</t>
  </si>
  <si>
    <t>DEUTSCHE BANK</t>
  </si>
  <si>
    <t>NATIXIS</t>
  </si>
  <si>
    <t>NOMURA</t>
  </si>
  <si>
    <t>SANTANDER</t>
  </si>
  <si>
    <t>WELLSFARGO</t>
  </si>
  <si>
    <t>WESTPAC</t>
  </si>
  <si>
    <t>Rates Notional Weights</t>
  </si>
  <si>
    <t>{"Tenor","USD","EUR","Other";"1M",0.00071,0.00138,0.00138;"2M",0.00122,0.00277,0.00277;"3M",0.00214,0.00415,0.00415;"6M",0.00429,0.0083,0.0083;"9M",0.00643,0.0125,0.0125;"1Y",0.00858,0.0166,0.0166;"2Y",0.0221,0.0171,0.0171;"3Y",0.0364,0.0309,0.0309;"4Y",0.0591,0.0443,0.0443;"5Y",0.0778,0.0576,0.0576;"6Y",0.0952,0.0741,0.0741;"7Y",0.1252,0.0855,0.0855;"8Y",0.1389,0.1037,0.1037;"9Y",0.1583,0.1185,0.1185;"10Y",0.1879,0.1292,0.1292}</t>
  </si>
  <si>
    <t>{"Tenor","EUR","Other";"1Y",0.005,0.005;"2Y",0.007,0.007;"3Y",0.01,0.01;"4Y",0.0125,0.0125;"5Y",0.016,0.016;"7Y",0.03,0.03}</t>
  </si>
  <si>
    <t>Added column "Rates Notional Weights". Notional Weights are held in compressed form (See SolumAddin functions sMakeArrayString and sParseArrayString) and an editor worksheet makes it easy to edit the data.</t>
  </si>
  <si>
    <t>Changed the name of the workbook to simply "Summary Credit Lines Banks" and incorporate it into release control.</t>
  </si>
  <si>
    <t>Fx Notional Weights</t>
  </si>
  <si>
    <t>Removed column Options NW as we are not using it. Data was as follows: BPCE_FR_PAR2, 0.15, GENO_DE_FRA, 1, HELA_DE_FRA, 0.01, ICBK_CN_BJS, 0.075, NATA_AU_MEL, 0.05, NBAD_AE_AUH, 0.17, NOLA_DE_HAJ, 0.16, SMBC_JP_TYO, 0.16, SMFG_JP_TYO, 0.16</t>
  </si>
  <si>
    <t>Notional Weights for Fx now take one column not seven. Can double-click to edit on the Fx Notional Weights cells as well as the Rates Notional Weights cells.</t>
  </si>
  <si>
    <t>Added method ImportData to help with merging data from different copies of this workbook.</t>
  </si>
  <si>
    <t>Merged in data from copy of the lines workbook that Guy mailed to me 16 Nov. Changes were: a) Notional Based banks no longer show data for percentile etc that cannot apply, b) column "THR Bank 3Y" updated for 44 banks c) column "Airbus THR 3Y" updated for 46 banks</t>
  </si>
  <si>
    <t>Bug fix to method ImportData.</t>
  </si>
  <si>
    <t>All 50 rows shown.</t>
  </si>
  <si>
    <t>Added filtering to Summary sheet, moved "Rates Notional Weights" column to be next to "Fx Notional Weights".</t>
  </si>
  <si>
    <t>Simplified calls to ShowRegularExpressionDialog.</t>
  </si>
  <si>
    <t>Guy Seknadje</t>
  </si>
  <si>
    <t>Amended FX &amp; IR weights for CIC</t>
  </si>
  <si>
    <t>Validators for Fx notional weights and rates notional weights now allow weights of zero. Also changed Fx and IR weights for CIC to zero rather than the small positive number that Guy used since validators rejected zero. Note that CIC uses a Notional Cap.</t>
  </si>
  <si>
    <t>For banks DBS BANK, LBBW, MIZUHO LONDON, RBC, UBS switched METHODOLOGY from PARAMETRIC to MONTE CARLO. Also changed data validation in the METHODOLOGY column to allow only NOTIONAL BASED and MONTE CARLO.</t>
  </si>
  <si>
    <t>For banks CIBC_CA_TOR, HSBC_GB_LON, MACQ_AU_SYD, SCGP_GB_LON, TDOM_CA_TOR switched Volatility Input from OTHER to MARKET IMPLIED. Also changed cell validation to allow only HISTORICAL and MARKET IMPLIED.</t>
  </si>
  <si>
    <t>Added columns for Capital calculations by copying data from the (soon-to-be-deleted) sheet CapInputs in SCRiPT.  There are trades with a number of banks for which we have no data in this workbook: BSUI_FR_PAR, DABA_DK_CPH, DNBA_NO_OSL, GIBA_AT_VIE, RVSA_AT_SZG</t>
  </si>
  <si>
    <t>Risk Weight Method</t>
  </si>
  <si>
    <t>Exemption</t>
  </si>
  <si>
    <t>Capital Hurdle</t>
  </si>
  <si>
    <t>Capital Discount</t>
  </si>
  <si>
    <t>Spread Vol</t>
  </si>
  <si>
    <t>Stressed Spread Vol</t>
  </si>
  <si>
    <t>Portfolio Size</t>
  </si>
  <si>
    <t>Index Correlation</t>
  </si>
  <si>
    <t>PD</t>
  </si>
  <si>
    <t>Recovery</t>
  </si>
  <si>
    <t>Alpha</t>
  </si>
  <si>
    <t>Hedge Offset</t>
  </si>
  <si>
    <t>IRB</t>
  </si>
  <si>
    <t>STD</t>
  </si>
  <si>
    <t>Double-click to edit Notional Weights!</t>
  </si>
  <si>
    <t>Removed column "Options Calculation" as it is not used.</t>
  </si>
  <si>
    <t>Inputs To Capital Calculation</t>
  </si>
  <si>
    <t>{"1Y",0.03;"2Y",0.15;"3Y",0.15;"4Y",0.15;"5Y",0.15;"7Y",0.15}</t>
  </si>
  <si>
    <t>Imported data from "Summary Credit Lines Banks - Jan 17.xlsm" sent by email from Guy. Log of changes is saved at \\SOLUMSBS\Philip Shared\SummaryCreditLinesBankChangeLog11Jan2017.xlsm</t>
  </si>
  <si>
    <t>Imported Guy's changes from 12 Jan: CIC notional cap changed from 50 bln to 30 bln, Bank of China limits changed from 455 million to 350 million.</t>
  </si>
  <si>
    <t>FVA charge %</t>
  </si>
  <si>
    <t>Added columns "DVA benefit %" and "FVA charge %"</t>
  </si>
  <si>
    <t>DVA benefit %</t>
  </si>
  <si>
    <t>Fixed typo in previous release.</t>
  </si>
  <si>
    <t>Imported data sent to me by Guy in email on 16 Jan @ 19:13. Log of changes is at \\SOLUMSBS\Philip Shared\SummaryCreditLinesBankChangeLog16Jan2017.xlsm</t>
  </si>
  <si>
    <t>EaD/CVA Capital Charge Methods</t>
  </si>
  <si>
    <t>IMM/STD</t>
  </si>
  <si>
    <t>IMM/ADV</t>
  </si>
  <si>
    <t>CEM/STD</t>
  </si>
  <si>
    <t>Now store the EaD method and CVA capital charge method in a single column - makes for better validation against allowed inputs.</t>
  </si>
  <si>
    <t>A longer version of the bank’s name, used in the Cayley and SCRiPT workbooks as annotation in “pick lists”. Example: BANK OF TOKYO</t>
  </si>
  <si>
    <t>A very short version of the bank’s name. Example: Tok Mit. Used as data labels in charts.</t>
  </si>
  <si>
    <t>The banks methodology for credit line calculation, read from the lines workbook. Allowed values are: MONTE CARLO, NOTIONAL BASED</t>
  </si>
  <si>
    <t>In the case of banks that use a MONTE CARLO methodology this is the confidence level used when generating the PFE which is to be compared with the credit lines. Confidence is generally in the range 95% to 99% with a higher number leading to greater line usage for a given set of trades.</t>
  </si>
  <si>
    <t>Does the bank use market-implied or historical volatilities for PFE calculation?</t>
  </si>
  <si>
    <t>The currency in which the bank denominates its credit lines</t>
  </si>
  <si>
    <t>Some banks enforce a limit on the total absolute notional of trades they execute with Airbus. If so that limit should be entered here.</t>
  </si>
  <si>
    <t>Describes the bank’s approach to amalgamating credit utilisation between their Fx business and Rates business with Airbus. Possible values are: Global Calculation, Global Limit &amp; Calculation by Product, Calculation &amp; Limit by Product</t>
  </si>
  <si>
    <t>Relevant for banks using a ‘NOTIONAL BASED’ methodology. Encapsulation of the maturity-dependent notional weights used by the bank in the notional-based credit usage calculation for Fx forwards, options and cross currency swaps. Double-click to edit.</t>
  </si>
  <si>
    <t>Relevant for banks using a ‘NOTIONAL BASED’ methodology. Encapsulation of the maturity-dependent notional weights used by the bank in the notional-based credit usage calculation for interest rate swaps. Double-click to edit.</t>
  </si>
  <si>
    <t xml:space="preserve">Describes interpolation between annual grid points in the "Credit Limit term structure". Allowed values: "FlatToRight" The (say) 3Y limit defines the limit at 3 1/2 years. "Linear" the 3 1/2 year limit is the linear interpolation between (i.e. average of) the limits at 3 years and 4 years.
</t>
  </si>
  <si>
    <t>One year credit limit in base currency terms</t>
  </si>
  <si>
    <t>Two year credit limit in base currency terms</t>
  </si>
  <si>
    <t>Three year credit limit in base currency terms</t>
  </si>
  <si>
    <t>Four year credit limit in base currency terms</t>
  </si>
  <si>
    <t>Five year credit limit in base currency terms</t>
  </si>
  <si>
    <t>Seven year credit limit in base currency terms</t>
  </si>
  <si>
    <t>Ten year credit limit in base currency terms</t>
  </si>
  <si>
    <t>Line exhaustion level in EUR/USD assessed by counterparties</t>
  </si>
  <si>
    <t>1Y Trade headroom assessed by counterparty</t>
  </si>
  <si>
    <t>3Y Trade headroom assessed by counterparty</t>
  </si>
  <si>
    <t>Additional comments collected from credit survey</t>
  </si>
  <si>
    <t>The method used for calculating the “RiskWeight” within the “DefaultCVA” component of capital. Allowed values: ‘IRB’ and ‘STD’ (standing for ‘Internal Ratings Based’ and ‘Standard’)</t>
  </si>
  <si>
    <t>Banks may use one of two methods for calculating the “Exposure at Default” (EaD) and one of two methods for calculating the CVA capital charge. The two methods for EaD are ‘IMM’ and ‘CEM’ and the two methods for the CVA capital charge are ‘STD’ and ‘ADV’. This column of the lines workbook gives both methods used by the bank with allowed values: ‘IMM/STD’, ‘IMM/ADV’, ‘CEM/STD’</t>
  </si>
  <si>
    <t>Whether the bank is currently exempt from calculating the CVA VaR component of capital for its trades with Airbus
Allowed values: TRUE, FALSE</t>
  </si>
  <si>
    <t>The bank’s required return on RWAs (i.e. the KVA) is this percentage of the discounted RWAs. Typical value: 3%</t>
  </si>
  <si>
    <t>The discount rate used in capital calculations to discount expected future RWAs back to a total “Discounted RWAs” of which the KVA is a percentage. Typical value: 10%</t>
  </si>
  <si>
    <t>Used (if the “Advanced’ method is employed) for calculating the CVA VaR component of Capital. Typical value: 40%</t>
  </si>
  <si>
    <t>Used (if the “Advanced’ method is employed) for calculating the CVA VaR component of Capital. Typical value: 75%</t>
  </si>
  <si>
    <t>Used (if the “Standard’ method is employed) for calculating the CVA VaR component of Capital. A measure of the diversity of the bank’s portfolio in terms of the number of counterparties that the bank faces.</t>
  </si>
  <si>
    <t>A component to the RiskWeight calculation when RiskWeightMethod is ‘IRB’. Typical value 0.1%</t>
  </si>
  <si>
    <t>An input to the IMM calculation of Default CVA. Typical value 1.4</t>
  </si>
  <si>
    <t xml:space="preserve">A multiplier applied to the CVA VaR component of capital to account for the effectiveness (or otherwise) of banks’ credit hedging activities. </t>
  </si>
  <si>
    <t>The SCRiPT workbook displays xVA as a weighted sum of CVA, DVA, FVA and KVA this value is the weight applied to the DVA. Typical value: 50%</t>
  </si>
  <si>
    <t>The SCRiPT workbook displays xVA as a weighted sum of CVA, DVA, FVA and KVA this value is the weight applied to the FVA. Typical value: 100%</t>
  </si>
  <si>
    <t>SheetName</t>
  </si>
  <si>
    <t>Cell contents</t>
  </si>
  <si>
    <t>RangeName</t>
  </si>
  <si>
    <t>Row</t>
  </si>
  <si>
    <t>Column</t>
  </si>
  <si>
    <t>Headers</t>
  </si>
  <si>
    <t>Summary</t>
  </si>
  <si>
    <t>The name of the bank e.g. BOTK_JP_TYO i.e. text in the form that appears in the CPTY_PARENT field of the Trades workbook.</t>
  </si>
  <si>
    <t>Added a "Comments" sheet for maintaining the comments in the header row of the Summary sheet.</t>
  </si>
  <si>
    <t>Allowed values: ‘Shortfall’, ‘Quantile’ If Quantile then the PFE calculated is the given ‘Confidence %’ quantile of future portfolio values. If Shortfall then the PFE calculated is the expectation of future portfolio value, conditional on portfolio value being above the stated percentile in the distribution.</t>
  </si>
  <si>
    <t>Final release before trip to Munich.</t>
  </si>
  <si>
    <t>Imported data from a copy (Summary Credit Lines Banks_CCRMC73.xlsm) sent to me by Tobias:
For BBVA changed 'Confidence %' from '0.99' to '0.95'
For CIC changed 'Notional Cap' from '4500000000' to '10000000000'
For CIC changed 'Fx Notional Weights' from '{"1Y",0;"2Y",0;"3Y",0;"4Y",0;"5Y",0;"7Y",0}' to '{"1Y",0.225;"2Y",0.225;"3Y",0.225;"4Y",0.225;"5Y",0.225;"7Y",0.225}'
For Westpac changed 'Line Interp.' from 'FlatToRight' to 'Linear'
Also changed Airbus THR 3Y for 48 banks.</t>
  </si>
  <si>
    <t>Ran CodeCleaner (MZTools).</t>
  </si>
  <si>
    <t>Can be extended subject to credit hedging</t>
  </si>
  <si>
    <t>Other</t>
  </si>
  <si>
    <t>LLCM_GB_LON</t>
  </si>
  <si>
    <t>{"1Y",0.01;"2Y",0.05;"3Y",0.05;"4Y",0.05;"5Y",0.05;"7Y",0.075;"10Y",0.075}</t>
  </si>
  <si>
    <t>{"Tenor","EUR","Other";"1Y",0,0;"2Y",0.005,0.005;"3Y",0.005,0.005;"4Y",0.005,0.005;"5Y",0.015,0.015;"7Y",0.015,0.015}</t>
  </si>
  <si>
    <t>{"1Y",0.01;"2Y",0.05;"3Y",0.05;"4Y",0.05;"5Y",0.05;"7Y",0.075}</t>
  </si>
  <si>
    <t>{"1Y",0.15;"2Y",0.23;"3Y",0.25;"4Y",0.29;"5Y",0.34;"7Y",0.44}</t>
  </si>
  <si>
    <t>ABN AMRO</t>
  </si>
  <si>
    <t>ABN AMRO Bank N.V.</t>
  </si>
  <si>
    <t>ABNABK_NL_AMS</t>
  </si>
  <si>
    <t>{"1Y",0.01;"2Y",0.055;"3Y",0.065;"4Y",0.085;"5Y",0.115;"7Y",0.15}</t>
  </si>
  <si>
    <t>Subject to credit approval</t>
  </si>
  <si>
    <t>we have various criteria ranging from business case, relationship with the client, credit hedging, CDS liquidity, external rating,  etc etc</t>
  </si>
  <si>
    <t>Credit committe has to be confortable with rationale. If RoE on the whole relationship is very small and far from targets, this could have an impact on our ability to convince credit about our credit appetite.</t>
  </si>
  <si>
    <t>Cit will review the overall limits and concentration and may be in a position to increase limits based on overal assessment of credit risk, available mitigation strategy as well as Global relationship</t>
  </si>
  <si>
    <t>{"1Y",0.13;"2Y",0.20;"3Y",0.25;"4Y",0.31;"5Y",0.36;"7Y",0.46;"10Y",0.60}</t>
  </si>
  <si>
    <t>{"1Y",0.08;"2Y",0.13;"3Y",0.18;"4Y",0.20;"5Y",0.23;"7Y",0.26;"10Y",0.35}</t>
  </si>
  <si>
    <t>UOVB</t>
  </si>
  <si>
    <t>United Overseas Bank</t>
  </si>
  <si>
    <t>UOVB_SG_SIN</t>
  </si>
  <si>
    <t>{"1Y",0.16;"2Y",0.25;"3Y",0.31;"4Y",0.42;"5Y",0.42;"7Y",0.51}</t>
  </si>
  <si>
    <t>Imported data sent by Camille Delalande in an email of 1 Dec 2021.</t>
  </si>
  <si>
    <t>Lloyds appeared twice (with identical data). Fixed that.</t>
  </si>
  <si>
    <t>Can now make the file ReadWrite via the menu.</t>
  </si>
  <si>
    <r>
      <t>Cayley Lines Workbook.</t>
    </r>
    <r>
      <rPr>
        <sz val="11"/>
        <color rgb="FFFF0000"/>
        <rFont val="Calibri"/>
        <family val="2"/>
        <scheme val="minor"/>
      </rPr>
      <t xml:space="preserve"> </t>
    </r>
    <r>
      <rPr>
        <b/>
        <sz val="11"/>
        <color rgb="FFFF0000"/>
        <rFont val="Calibri"/>
        <family val="2"/>
        <scheme val="minor"/>
      </rPr>
      <t>Want to save your changes? - Use the menu to make the file ReadWrite.</t>
    </r>
  </si>
  <si>
    <t>Tweaks to previous release.</t>
  </si>
  <si>
    <t>Renamed to CayleyLines.xlsm</t>
  </si>
  <si>
    <t>Protect the VBA code. MZTools etc.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</si>
</sst>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0.00_);_(* \(#,##0.00\);_(* &quot;-&quot;??_);_(@_)"/>
    <numFmt numFmtId="165" formatCode="0.0%"/>
    <numFmt numFmtId="166" formatCode="0.0000"/>
    <numFmt numFmtId="167" formatCode="dd\-mmm\-yyyy"/>
    <numFmt numFmtId="169" formatCode="#,##0;[Red]\-#,##0"/>
    <numFmt numFmtId="170" formatCode="hh:mm"/>
  </numFmts>
  <fonts count="15" x14ac:knownFonts="1">
    <font>
      <sz val="11"/>
      <color theme="1"/>
      <name val="Calibri"/>
      <family val="2"/>
      <scheme val="minor"/>
    </font>
    <font>
      <sz val="11"/>
      <color theme="1"/>
      <name val="Calibri"/>
      <family val="2"/>
      <scheme val="minor"/>
    </font>
    <font>
      <sz val="11"/>
      <color rgb="FFFF0000"/>
      <name val="Calibri"/>
      <family val="2"/>
      <scheme val="minor"/>
    </font>
    <font>
      <b/>
      <sz val="11"/>
      <color rgb="FFFFFFFF"/>
      <name val="Calibri"/>
      <family val="2"/>
      <scheme val="minor"/>
    </font>
    <font>
      <sz val="11"/>
      <color rgb="FF002060"/>
      <name val="Calibri"/>
      <family val="2"/>
      <scheme val="minor"/>
    </font>
    <font>
      <sz val="11"/>
      <color theme="0" tint="-0.499984740745262"/>
      <name val="Calibri"/>
      <family val="2"/>
      <scheme val="minor"/>
    </font>
    <font>
      <b/>
      <sz val="11"/>
      <color theme="1"/>
      <name val="Calibri"/>
      <family val="2"/>
      <scheme val="minor"/>
    </font>
    <font>
      <sz val="22"/>
      <color theme="1"/>
      <name val="Calibri"/>
      <family val="2"/>
      <scheme val="minor"/>
    </font>
    <font>
      <sz val="11"/>
      <color rgb="FF000000"/>
      <name val="Calibri"/>
      <family val="2"/>
    </font>
    <font>
      <sz val="11"/>
      <name val="Calibri"/>
      <family val="2"/>
      <scheme val="minor"/>
    </font>
    <font>
      <b/>
      <sz val="11"/>
      <color rgb="FFFF0000"/>
      <name val="Calibri"/>
      <family val="2"/>
      <scheme val="minor"/>
    </font>
    <font>
      <sz val="11"/>
      <color rgb="FF0000FF"/>
      <name val="Calibri"/>
      <family val="2"/>
      <scheme val="minor"/>
    </font>
    <font>
      <sz val="10"/>
      <color rgb="FF969696"/>
      <name val="Wingdings"/>
      <charset val="2"/>
    </font>
    <font>
      <sz val="11"/>
      <color indexed="81"/>
      <name val="Calibri"/>
      <family val="2"/>
    </font>
    <font>
      <sz val="10"/>
      <color rgb="FF000080"/>
      <name val="Wingdings 3"/>
      <family val="1"/>
      <charset val="2"/>
    </font>
  </fonts>
  <fills count="5">
    <fill>
      <patternFill patternType="none"/>
    </fill>
    <fill>
      <patternFill patternType="gray125"/>
    </fill>
    <fill>
      <patternFill patternType="solid">
        <fgColor rgb="FF0066CC"/>
        <bgColor indexed="64"/>
      </patternFill>
    </fill>
    <fill>
      <patternFill patternType="solid">
        <fgColor indexed="65"/>
        <bgColor indexed="64"/>
      </patternFill>
    </fill>
    <fill>
      <patternFill patternType="solid">
        <fgColor theme="0" tint="-0.14999847407452621"/>
        <bgColor indexed="64"/>
      </patternFill>
    </fill>
  </fills>
  <borders count="17">
    <border>
      <left/>
      <right/>
      <top/>
      <bottom/>
      <diagonal/>
    </border>
    <border>
      <left style="thin">
        <color auto="1"/>
      </left>
      <right style="thin">
        <color theme="0" tint="-0.14993743705557422"/>
      </right>
      <top style="thin">
        <color auto="1"/>
      </top>
      <bottom style="thin">
        <color theme="0" tint="-0.14993743705557422"/>
      </bottom>
      <diagonal/>
    </border>
    <border>
      <left style="thin">
        <color theme="0" tint="-0.14993743705557422"/>
      </left>
      <right style="thin">
        <color theme="0" tint="-0.14993743705557422"/>
      </right>
      <top style="thin">
        <color auto="1"/>
      </top>
      <bottom style="thin">
        <color theme="0" tint="-0.14993743705557422"/>
      </bottom>
      <diagonal/>
    </border>
    <border>
      <left style="thin">
        <color theme="0" tint="-0.14993743705557422"/>
      </left>
      <right style="thin">
        <color indexed="64"/>
      </right>
      <top style="thin">
        <color auto="1"/>
      </top>
      <bottom style="thin">
        <color theme="0" tint="-0.14993743705557422"/>
      </bottom>
      <diagonal/>
    </border>
    <border>
      <left style="thin">
        <color auto="1"/>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style="thin">
        <color theme="0" tint="-0.24994659260841701"/>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72">
    <xf numFmtId="0" fontId="0" fillId="0" borderId="0" xfId="0"/>
    <xf numFmtId="0" fontId="3" fillId="2" borderId="0" xfId="0" applyFont="1" applyFill="1" applyBorder="1" applyAlignment="1">
      <alignment horizontal="left" vertical="center" wrapText="1" indent="1"/>
    </xf>
    <xf numFmtId="0" fontId="4" fillId="0" borderId="0" xfId="0" applyFont="1"/>
    <xf numFmtId="0" fontId="2" fillId="0" borderId="0" xfId="0" applyFont="1"/>
    <xf numFmtId="0" fontId="3" fillId="2" borderId="0" xfId="0" applyFont="1" applyFill="1" applyBorder="1" applyAlignment="1">
      <alignment horizontal="left" vertical="center" indent="1"/>
    </xf>
    <xf numFmtId="0" fontId="5" fillId="0" borderId="0" xfId="0" applyFont="1"/>
    <xf numFmtId="0" fontId="3" fillId="2" borderId="0" xfId="0" quotePrefix="1" applyFont="1" applyFill="1" applyBorder="1" applyAlignment="1">
      <alignment horizontal="left" vertical="center" wrapText="1" indent="1"/>
    </xf>
    <xf numFmtId="0" fontId="7" fillId="0" borderId="0" xfId="0" quotePrefix="1" applyFont="1" applyAlignment="1">
      <alignment horizontal="left"/>
    </xf>
    <xf numFmtId="0" fontId="6" fillId="0" borderId="1" xfId="0" applyFont="1" applyBorder="1" applyAlignment="1">
      <alignment horizontal="center" vertical="center"/>
    </xf>
    <xf numFmtId="167" fontId="6" fillId="0" borderId="2" xfId="0" applyNumberFormat="1" applyFont="1" applyBorder="1" applyAlignment="1">
      <alignment horizontal="left" vertical="center"/>
    </xf>
    <xf numFmtId="0" fontId="6" fillId="0" borderId="3" xfId="0" applyFont="1" applyBorder="1" applyAlignment="1">
      <alignment horizontal="left" vertical="center" wrapText="1"/>
    </xf>
    <xf numFmtId="0" fontId="9" fillId="3" borderId="4" xfId="0" applyFont="1" applyFill="1" applyBorder="1" applyAlignment="1">
      <alignment horizontal="center" vertical="center"/>
    </xf>
    <xf numFmtId="167" fontId="9" fillId="3" borderId="5" xfId="0" applyNumberFormat="1" applyFont="1" applyFill="1" applyBorder="1" applyAlignment="1">
      <alignment horizontal="left" vertical="center"/>
    </xf>
    <xf numFmtId="0" fontId="9" fillId="3" borderId="6" xfId="0" quotePrefix="1" applyFont="1" applyFill="1" applyBorder="1" applyAlignment="1">
      <alignment horizontal="left" vertical="center" wrapText="1"/>
    </xf>
    <xf numFmtId="0" fontId="9" fillId="3" borderId="7" xfId="0" applyFont="1" applyFill="1" applyBorder="1" applyAlignment="1">
      <alignment horizontal="center" vertical="center"/>
    </xf>
    <xf numFmtId="167" fontId="9" fillId="3" borderId="8" xfId="0" applyNumberFormat="1" applyFont="1" applyFill="1" applyBorder="1" applyAlignment="1">
      <alignment horizontal="left" vertical="center"/>
    </xf>
    <xf numFmtId="0" fontId="9" fillId="3" borderId="9" xfId="0" quotePrefix="1" applyFont="1" applyFill="1" applyBorder="1" applyAlignment="1">
      <alignment horizontal="left" vertical="center" wrapText="1"/>
    </xf>
    <xf numFmtId="0" fontId="9" fillId="3" borderId="6" xfId="0" applyFont="1" applyFill="1" applyBorder="1" applyAlignment="1">
      <alignment horizontal="left" vertical="center" wrapText="1"/>
    </xf>
    <xf numFmtId="0" fontId="10" fillId="0" borderId="0" xfId="0" applyFont="1"/>
    <xf numFmtId="49" fontId="11" fillId="0" borderId="10" xfId="0" applyNumberFormat="1" applyFont="1" applyBorder="1" applyAlignment="1" applyProtection="1">
      <alignment horizontal="center"/>
      <protection locked="0"/>
    </xf>
    <xf numFmtId="0" fontId="3" fillId="2" borderId="10" xfId="0" quotePrefix="1" applyFont="1" applyFill="1" applyBorder="1" applyAlignment="1">
      <alignment horizontal="left" vertical="center" wrapText="1" indent="1"/>
    </xf>
    <xf numFmtId="0" fontId="3" fillId="2" borderId="10" xfId="0" applyFont="1" applyFill="1" applyBorder="1" applyAlignment="1">
      <alignment horizontal="left" vertical="center" wrapText="1" indent="1"/>
    </xf>
    <xf numFmtId="9" fontId="3" fillId="2" borderId="0" xfId="1" applyNumberFormat="1" applyFont="1" applyFill="1" applyBorder="1" applyAlignment="1">
      <alignment horizontal="left" vertical="center" wrapText="1" indent="1"/>
    </xf>
    <xf numFmtId="0" fontId="3" fillId="2" borderId="0" xfId="0" applyFont="1" applyFill="1" applyAlignment="1">
      <alignment horizontal="left" vertical="center" wrapText="1" indent="1"/>
    </xf>
    <xf numFmtId="0" fontId="0" fillId="4" borderId="0" xfId="0" quotePrefix="1" applyFill="1" applyAlignment="1"/>
    <xf numFmtId="0" fontId="3" fillId="2" borderId="0" xfId="0" quotePrefix="1" applyFont="1" applyFill="1" applyAlignment="1">
      <alignment horizontal="left" vertical="center" wrapText="1" indent="1"/>
    </xf>
    <xf numFmtId="0" fontId="0" fillId="0" borderId="0" xfId="0" quotePrefix="1" applyAlignment="1">
      <alignment horizontal="left"/>
    </xf>
    <xf numFmtId="0" fontId="0" fillId="0" borderId="0" xfId="0" applyAlignment="1">
      <alignment horizontal="left"/>
    </xf>
    <xf numFmtId="0" fontId="6" fillId="0" borderId="0" xfId="0" applyFont="1"/>
    <xf numFmtId="0" fontId="9" fillId="0" borderId="0" xfId="0" applyFont="1" applyFill="1" applyBorder="1" applyAlignment="1">
      <alignment horizontal="left" vertical="center" wrapText="1" indent="1"/>
    </xf>
    <xf numFmtId="0" fontId="9" fillId="0" borderId="0" xfId="0" applyFont="1" applyFill="1" applyBorder="1" applyAlignment="1">
      <alignment horizontal="left" vertical="center" indent="1"/>
    </xf>
    <xf numFmtId="165" fontId="9" fillId="0" borderId="0" xfId="2" applyNumberFormat="1" applyFont="1" applyFill="1" applyBorder="1" applyAlignment="1">
      <alignment horizontal="left" vertical="center" indent="1"/>
    </xf>
    <xf numFmtId="165" fontId="9" fillId="0" borderId="0" xfId="2" applyNumberFormat="1" applyFont="1" applyFill="1" applyBorder="1" applyAlignment="1">
      <alignment horizontal="left" indent="1"/>
    </xf>
    <xf numFmtId="3" fontId="9" fillId="0" borderId="0" xfId="0" applyNumberFormat="1" applyFont="1" applyFill="1" applyBorder="1" applyAlignment="1">
      <alignment horizontal="left" vertical="center" indent="1"/>
    </xf>
    <xf numFmtId="9" fontId="9" fillId="0" borderId="0" xfId="2" applyNumberFormat="1" applyFont="1" applyFill="1" applyBorder="1" applyAlignment="1">
      <alignment horizontal="left" vertical="center" indent="1"/>
    </xf>
    <xf numFmtId="3" fontId="9" fillId="0" borderId="0" xfId="0" applyNumberFormat="1" applyFont="1" applyFill="1" applyAlignment="1">
      <alignment horizontal="left" vertical="center" indent="1"/>
    </xf>
    <xf numFmtId="38" fontId="9" fillId="0" borderId="0" xfId="0" applyNumberFormat="1" applyFont="1" applyFill="1" applyBorder="1" applyAlignment="1">
      <alignment horizontal="left" vertical="center" indent="1"/>
    </xf>
    <xf numFmtId="166" fontId="9" fillId="0" borderId="0" xfId="0" applyNumberFormat="1" applyFont="1" applyFill="1" applyBorder="1" applyAlignment="1">
      <alignment horizontal="left" vertical="center" indent="1"/>
    </xf>
    <xf numFmtId="3" fontId="9" fillId="0" borderId="12" xfId="0" applyNumberFormat="1" applyFont="1" applyFill="1" applyBorder="1" applyAlignment="1">
      <alignment horizontal="left" vertical="center" indent="1"/>
    </xf>
    <xf numFmtId="3" fontId="9" fillId="0" borderId="13" xfId="0" applyNumberFormat="1" applyFont="1" applyFill="1" applyBorder="1" applyAlignment="1">
      <alignment horizontal="left" vertical="center" indent="1"/>
    </xf>
    <xf numFmtId="165" fontId="9" fillId="0" borderId="13" xfId="2" applyNumberFormat="1" applyFont="1" applyFill="1" applyBorder="1" applyAlignment="1">
      <alignment horizontal="left" vertical="center" indent="1"/>
    </xf>
    <xf numFmtId="9" fontId="9" fillId="0" borderId="13" xfId="2" applyFont="1" applyFill="1" applyBorder="1" applyAlignment="1">
      <alignment horizontal="left" vertical="center" indent="1"/>
    </xf>
    <xf numFmtId="10" fontId="9" fillId="0" borderId="13" xfId="2" applyNumberFormat="1" applyFont="1" applyFill="1" applyBorder="1" applyAlignment="1">
      <alignment horizontal="left" vertical="center" indent="1"/>
    </xf>
    <xf numFmtId="0" fontId="9" fillId="0" borderId="13" xfId="0" applyNumberFormat="1" applyFont="1" applyFill="1" applyBorder="1" applyAlignment="1">
      <alignment horizontal="left" vertical="center" indent="1"/>
    </xf>
    <xf numFmtId="165" fontId="9" fillId="0" borderId="0" xfId="2" applyNumberFormat="1" applyFont="1" applyFill="1" applyBorder="1" applyAlignment="1">
      <alignment horizontal="left" vertical="center" wrapText="1" indent="1"/>
    </xf>
    <xf numFmtId="165" fontId="9" fillId="0" borderId="0" xfId="2" applyNumberFormat="1" applyFont="1" applyFill="1" applyBorder="1" applyAlignment="1">
      <alignment horizontal="left" wrapText="1" indent="1"/>
    </xf>
    <xf numFmtId="3" fontId="9" fillId="0" borderId="14" xfId="0" applyNumberFormat="1" applyFont="1" applyFill="1" applyBorder="1" applyAlignment="1">
      <alignment horizontal="left" vertical="center" indent="1"/>
    </xf>
    <xf numFmtId="3" fontId="9" fillId="0" borderId="10" xfId="0" applyNumberFormat="1" applyFont="1" applyFill="1" applyBorder="1" applyAlignment="1">
      <alignment horizontal="left" vertical="center" indent="1"/>
    </xf>
    <xf numFmtId="165" fontId="9" fillId="0" borderId="10" xfId="2" applyNumberFormat="1" applyFont="1" applyFill="1" applyBorder="1" applyAlignment="1">
      <alignment horizontal="left" vertical="center" indent="1"/>
    </xf>
    <xf numFmtId="9" fontId="9" fillId="0" borderId="10" xfId="2" applyFont="1" applyFill="1" applyBorder="1" applyAlignment="1">
      <alignment horizontal="left" vertical="center" indent="1"/>
    </xf>
    <xf numFmtId="10" fontId="9" fillId="0" borderId="10" xfId="2" applyNumberFormat="1" applyFont="1" applyFill="1" applyBorder="1" applyAlignment="1">
      <alignment horizontal="left" vertical="center" indent="1"/>
    </xf>
    <xf numFmtId="0" fontId="9" fillId="0" borderId="10" xfId="0" applyNumberFormat="1" applyFont="1" applyFill="1" applyBorder="1" applyAlignment="1">
      <alignment horizontal="left" vertical="center" indent="1"/>
    </xf>
    <xf numFmtId="0" fontId="9" fillId="0" borderId="0" xfId="0" quotePrefix="1" applyFont="1" applyFill="1" applyBorder="1" applyAlignment="1">
      <alignment horizontal="left" vertical="center" indent="1"/>
    </xf>
    <xf numFmtId="3" fontId="9" fillId="0" borderId="15" xfId="0" applyNumberFormat="1" applyFont="1" applyFill="1" applyBorder="1" applyAlignment="1">
      <alignment horizontal="left" vertical="center" indent="1"/>
    </xf>
    <xf numFmtId="3" fontId="9" fillId="0" borderId="16" xfId="0" applyNumberFormat="1" applyFont="1" applyFill="1" applyBorder="1" applyAlignment="1">
      <alignment horizontal="left" vertical="center" indent="1"/>
    </xf>
    <xf numFmtId="165" fontId="9" fillId="0" borderId="16" xfId="2" applyNumberFormat="1" applyFont="1" applyFill="1" applyBorder="1" applyAlignment="1">
      <alignment horizontal="left" vertical="center" indent="1"/>
    </xf>
    <xf numFmtId="9" fontId="9" fillId="0" borderId="16" xfId="2" applyFont="1" applyFill="1" applyBorder="1" applyAlignment="1">
      <alignment horizontal="left" vertical="center" indent="1"/>
    </xf>
    <xf numFmtId="10" fontId="9" fillId="0" borderId="16" xfId="2" applyNumberFormat="1" applyFont="1" applyFill="1" applyBorder="1" applyAlignment="1">
      <alignment horizontal="left" vertical="center" indent="1"/>
    </xf>
    <xf numFmtId="0" fontId="9" fillId="0" borderId="16" xfId="0" applyNumberFormat="1" applyFont="1" applyFill="1" applyBorder="1" applyAlignment="1">
      <alignment horizontal="left" vertical="center" indent="1"/>
    </xf>
    <xf numFmtId="0" fontId="9" fillId="0" borderId="0" xfId="0" applyNumberFormat="1" applyFont="1" applyAlignment="1">
      <alignment horizontal="left" indent="1"/>
    </xf>
    <xf numFmtId="3" fontId="9" fillId="0" borderId="0" xfId="0" quotePrefix="1" applyNumberFormat="1" applyFont="1" applyFill="1" applyAlignment="1">
      <alignment horizontal="left" vertical="center" indent="1"/>
    </xf>
    <xf numFmtId="9" fontId="9" fillId="0" borderId="0" xfId="2" quotePrefix="1" applyNumberFormat="1" applyFont="1" applyFill="1" applyBorder="1" applyAlignment="1">
      <alignment horizontal="left" vertical="center" indent="1"/>
    </xf>
    <xf numFmtId="0" fontId="9" fillId="0" borderId="0" xfId="0" quotePrefix="1" applyFont="1" applyFill="1" applyBorder="1" applyAlignment="1">
      <alignment horizontal="left" vertical="center" wrapText="1" indent="1"/>
    </xf>
    <xf numFmtId="38" fontId="9" fillId="3" borderId="4" xfId="0" applyNumberFormat="1" applyFont="1" applyFill="1" applyBorder="1" applyAlignment="1">
      <alignment horizontal="center" vertical="center"/>
    </xf>
    <xf numFmtId="20" fontId="6" fillId="0" borderId="2" xfId="0" applyNumberFormat="1" applyFont="1" applyBorder="1" applyAlignment="1">
      <alignment horizontal="left" vertical="center"/>
    </xf>
    <xf numFmtId="20" fontId="9" fillId="3" borderId="5" xfId="0" applyNumberFormat="1" applyFont="1" applyFill="1" applyBorder="1" applyAlignment="1">
      <alignment horizontal="left" vertical="center"/>
    </xf>
    <xf numFmtId="20" fontId="9" fillId="3" borderId="8" xfId="0" applyNumberFormat="1" applyFont="1" applyFill="1" applyBorder="1" applyAlignment="1">
      <alignment horizontal="left" vertical="center"/>
    </xf>
    <xf numFmtId="0" fontId="2" fillId="0" borderId="11" xfId="0" quotePrefix="1" applyFont="1" applyFill="1" applyBorder="1" applyAlignment="1">
      <alignment horizontal="center"/>
    </xf>
    <xf numFmtId="169" fontId="9" fillId="3" borderId="4" xfId="0" applyNumberFormat="1" applyFont="1" applyFill="1" applyBorder="1" applyAlignment="1">
      <alignment horizontal="center" vertical="center"/>
    </xf>
    <xf numFmtId="170" fontId="6" fillId="0" borderId="2" xfId="0" applyNumberFormat="1" applyFont="1" applyBorder="1" applyAlignment="1">
      <alignment horizontal="left" vertical="center"/>
    </xf>
    <xf numFmtId="170" fontId="9" fillId="3" borderId="5" xfId="0" applyNumberFormat="1" applyFont="1" applyFill="1" applyBorder="1" applyAlignment="1">
      <alignment horizontal="left" vertical="center"/>
    </xf>
    <xf numFmtId="170" fontId="9" fillId="3" borderId="8" xfId="0" applyNumberFormat="1" applyFont="1" applyFill="1" applyBorder="1" applyAlignment="1">
      <alignment horizontal="left" vertical="center"/>
    </xf>
  </cellXfs>
  <cellStyles count="3">
    <cellStyle name="Comma" xfId="1" builtinId="3"/>
    <cellStyle name="Normal" xfId="0" builtinId="0"/>
    <cellStyle name="Percent" xfId="2" builtinId="5"/>
  </cellStyles>
  <dxfs count="42">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center" textRotation="0" wrapText="0" indent="1" justifyLastLine="0" shrinkToFit="0" readingOrder="0"/>
      <border diagonalUp="0" diagonalDown="0" outline="0">
        <left style="thin">
          <color theme="0" tint="-0.24994659260841701"/>
        </left>
        <right style="thin">
          <color theme="0" tint="-0.24994659260841701"/>
        </right>
        <top style="thin">
          <color theme="0" tint="-0.24994659260841701"/>
        </top>
        <bottom/>
      </border>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center" textRotation="0" wrapText="0" indent="1" justifyLastLine="0" shrinkToFit="0" readingOrder="0"/>
      <border diagonalUp="0" diagonalDown="0" outline="0">
        <left style="thin">
          <color theme="0" tint="-0.24994659260841701"/>
        </left>
        <right style="thin">
          <color theme="0" tint="-0.24994659260841701"/>
        </right>
        <top style="thin">
          <color theme="0" tint="-0.24994659260841701"/>
        </top>
        <bottom/>
      </border>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center" textRotation="0" wrapText="0" indent="1" justifyLastLine="0" shrinkToFit="0" readingOrder="0"/>
      <border outline="0">
        <left style="thin">
          <color theme="0" tint="-0.24994659260841701"/>
        </left>
      </border>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center" textRotation="0" wrapText="0" indent="1" justifyLastLine="0" shrinkToFit="0" readingOrder="0"/>
      <border outline="0">
        <left style="thin">
          <color theme="0" tint="-0.24994659260841701"/>
        </left>
      </border>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center" textRotation="0" wrapText="0" indent="1" justifyLastLine="0" shrinkToFit="0" readingOrder="0"/>
      <border outline="0">
        <left style="thin">
          <color theme="0" tint="-0.24994659260841701"/>
        </left>
      </border>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alignment horizontal="left" vertical="center" textRotation="0" wrapText="0" indent="1" justifyLastLine="0" shrinkToFit="0" readingOrder="0"/>
      <border outline="0">
        <left style="thin">
          <color theme="0" tint="-0.24994659260841701"/>
        </left>
      </border>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center" textRotation="0" wrapText="0" indent="1" justifyLastLine="0" shrinkToFit="0" readingOrder="0"/>
      <border outline="0">
        <left style="thin">
          <color theme="0" tint="-0.24994659260841701"/>
        </left>
        <right style="thin">
          <color theme="0" tint="-0.24994659260841701"/>
        </right>
      </border>
    </dxf>
    <dxf>
      <font>
        <b val="0"/>
        <i val="0"/>
        <strike val="0"/>
        <condense val="0"/>
        <extend val="0"/>
        <outline val="0"/>
        <shadow val="0"/>
        <u val="none"/>
        <vertAlign val="baseline"/>
        <sz val="11"/>
        <color auto="1"/>
        <name val="Calibri"/>
        <family val="2"/>
        <scheme val="minor"/>
      </font>
      <numFmt numFmtId="3" formatCode="#,##0"/>
      <fill>
        <patternFill patternType="none">
          <fgColor indexed="64"/>
          <bgColor indexed="65"/>
        </patternFill>
      </fill>
      <alignment horizontal="left" vertical="center" textRotation="0" wrapText="0" indent="1" justifyLastLine="0" shrinkToFit="0" readingOrder="0"/>
      <border outline="0">
        <left style="thin">
          <color theme="0" tint="-0.24994659260841701"/>
        </left>
      </border>
    </dxf>
    <dxf>
      <font>
        <b val="0"/>
        <i val="0"/>
        <strike val="0"/>
        <condense val="0"/>
        <extend val="0"/>
        <outline val="0"/>
        <shadow val="0"/>
        <u val="none"/>
        <vertAlign val="baseline"/>
        <sz val="11"/>
        <color auto="1"/>
        <name val="Calibri"/>
        <family val="2"/>
        <scheme val="minor"/>
      </font>
      <numFmt numFmtId="165" formatCode="0.0%"/>
      <fill>
        <patternFill patternType="none">
          <fgColor indexed="64"/>
          <bgColor indexed="65"/>
        </patternFill>
      </fill>
      <alignment horizontal="left" vertical="center" textRotation="0" wrapText="0" indent="1" justifyLastLine="0" shrinkToFit="0" readingOrder="0"/>
      <border outline="0">
        <left style="thin">
          <color theme="0" tint="-0.24994659260841701"/>
        </left>
      </border>
    </dxf>
    <dxf>
      <font>
        <b val="0"/>
        <i val="0"/>
        <strike val="0"/>
        <condense val="0"/>
        <extend val="0"/>
        <outline val="0"/>
        <shadow val="0"/>
        <u val="none"/>
        <vertAlign val="baseline"/>
        <sz val="11"/>
        <color auto="1"/>
        <name val="Calibri"/>
        <family val="2"/>
        <scheme val="minor"/>
      </font>
      <numFmt numFmtId="165" formatCode="0.0%"/>
      <fill>
        <patternFill patternType="none">
          <fgColor indexed="64"/>
          <bgColor indexed="65"/>
        </patternFill>
      </fill>
      <alignment horizontal="left" vertical="center" textRotation="0" wrapText="0" indent="1" justifyLastLine="0" shrinkToFit="0" readingOrder="0"/>
      <border outline="0">
        <left style="thin">
          <color theme="0" tint="-0.24994659260841701"/>
        </left>
        <right style="thin">
          <color theme="0" tint="-0.24994659260841701"/>
        </right>
      </border>
    </dxf>
    <dxf>
      <font>
        <b val="0"/>
        <i val="0"/>
        <strike val="0"/>
        <condense val="0"/>
        <extend val="0"/>
        <outline val="0"/>
        <shadow val="0"/>
        <u val="none"/>
        <vertAlign val="baseline"/>
        <sz val="11"/>
        <color auto="1"/>
        <name val="Calibri"/>
        <family val="2"/>
        <scheme val="minor"/>
      </font>
      <numFmt numFmtId="165" formatCode="0.0%"/>
      <fill>
        <patternFill patternType="none">
          <fgColor indexed="64"/>
          <bgColor indexed="65"/>
        </patternFill>
      </fill>
      <alignment horizontal="left" vertical="center" textRotation="0" wrapText="0" indent="1" justifyLastLine="0" shrinkToFit="0" readingOrder="0"/>
      <border outline="0">
        <left style="thin">
          <color theme="0" tint="-0.24994659260841701"/>
        </left>
        <right style="thin">
          <color theme="0" tint="-0.24994659260841701"/>
        </right>
      </border>
    </dxf>
    <dxf>
      <font>
        <b val="0"/>
        <i val="0"/>
        <strike val="0"/>
        <condense val="0"/>
        <extend val="0"/>
        <outline val="0"/>
        <shadow val="0"/>
        <u val="none"/>
        <vertAlign val="baseline"/>
        <sz val="11"/>
        <color auto="1"/>
        <name val="Calibri"/>
        <family val="2"/>
        <scheme val="minor"/>
      </font>
      <numFmt numFmtId="165" formatCode="0.0%"/>
      <fill>
        <patternFill patternType="none">
          <fgColor indexed="64"/>
          <bgColor indexed="65"/>
        </patternFill>
      </fill>
      <alignment horizontal="left" vertical="center" textRotation="0" wrapText="0" indent="1" justifyLastLine="0" shrinkToFit="0" readingOrder="0"/>
      <border outline="0">
        <left style="thin">
          <color theme="0" tint="-0.24994659260841701"/>
        </left>
        <right style="thin">
          <color theme="0" tint="-0.24994659260841701"/>
        </right>
      </border>
    </dxf>
    <dxf>
      <font>
        <b val="0"/>
        <i val="0"/>
        <strike val="0"/>
        <condense val="0"/>
        <extend val="0"/>
        <outline val="0"/>
        <shadow val="0"/>
        <u val="none"/>
        <vertAlign val="baseline"/>
        <sz val="11"/>
        <color auto="1"/>
        <name val="Calibri"/>
        <family val="2"/>
        <scheme val="minor"/>
      </font>
      <numFmt numFmtId="3" formatCode="#,##0"/>
      <fill>
        <patternFill patternType="none">
          <fgColor indexed="64"/>
          <bgColor indexed="65"/>
        </patternFill>
      </fill>
      <alignment horizontal="left" vertical="center" textRotation="0" wrapText="0" indent="1" justifyLastLine="0" shrinkToFit="0" readingOrder="0"/>
      <border outline="0">
        <left style="thin">
          <color theme="0" tint="-0.24994659260841701"/>
        </left>
        <right style="thin">
          <color theme="0" tint="-0.24994659260841701"/>
        </right>
      </border>
    </dxf>
    <dxf>
      <font>
        <b val="0"/>
        <i val="0"/>
        <strike val="0"/>
        <condense val="0"/>
        <extend val="0"/>
        <outline val="0"/>
        <shadow val="0"/>
        <u val="none"/>
        <vertAlign val="baseline"/>
        <sz val="11"/>
        <color auto="1"/>
        <name val="Calibri"/>
        <family val="2"/>
        <scheme val="minor"/>
      </font>
      <numFmt numFmtId="3" formatCode="#,##0"/>
      <fill>
        <patternFill patternType="none">
          <fgColor indexed="64"/>
          <bgColor indexed="65"/>
        </patternFill>
      </fill>
      <alignment horizontal="left" vertical="center" textRotation="0" wrapText="0" indent="1" justifyLastLine="0" shrinkToFit="0" readingOrder="0"/>
      <border diagonalUp="0" diagonalDown="0" outline="0">
        <left/>
        <right style="thin">
          <color theme="0" tint="-0.24994659260841701"/>
        </right>
        <top style="thin">
          <color theme="0" tint="-0.24994659260841701"/>
        </top>
        <bottom/>
      </border>
    </dxf>
    <dxf>
      <font>
        <b val="0"/>
        <i val="0"/>
        <strike val="0"/>
        <condense val="0"/>
        <extend val="0"/>
        <outline val="0"/>
        <shadow val="0"/>
        <u val="none"/>
        <vertAlign val="baseline"/>
        <sz val="11"/>
        <color auto="1"/>
        <name val="Calibri"/>
        <family val="2"/>
        <scheme val="minor"/>
      </font>
      <numFmt numFmtId="3" formatCode="#,##0"/>
      <fill>
        <patternFill patternType="none">
          <fgColor indexed="64"/>
          <bgColor indexed="65"/>
        </patternFill>
      </fill>
      <alignment horizontal="left" vertical="center" textRotation="0" wrapText="0" indent="1"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center" textRotation="0" wrapText="0" indent="1" justifyLastLine="0" shrinkToFit="0" readingOrder="0"/>
    </dxf>
    <dxf>
      <font>
        <b val="0"/>
        <i val="0"/>
        <strike val="0"/>
        <condense val="0"/>
        <extend val="0"/>
        <outline val="0"/>
        <shadow val="0"/>
        <u val="none"/>
        <vertAlign val="baseline"/>
        <sz val="11"/>
        <color auto="1"/>
        <name val="Calibri"/>
        <family val="2"/>
        <scheme val="minor"/>
      </font>
      <numFmt numFmtId="3" formatCode="#,##0"/>
      <fill>
        <patternFill patternType="none">
          <fgColor indexed="64"/>
          <bgColor indexed="65"/>
        </patternFill>
      </fill>
      <alignment horizontal="left" vertical="center" textRotation="0" wrapText="0" indent="1" justifyLastLine="0" shrinkToFit="0" readingOrder="0"/>
    </dxf>
    <dxf>
      <font>
        <b val="0"/>
        <i val="0"/>
        <strike val="0"/>
        <condense val="0"/>
        <extend val="0"/>
        <outline val="0"/>
        <shadow val="0"/>
        <u val="none"/>
        <vertAlign val="baseline"/>
        <sz val="11"/>
        <color auto="1"/>
        <name val="Calibri"/>
        <family val="2"/>
        <scheme val="minor"/>
      </font>
      <numFmt numFmtId="3" formatCode="#,##0"/>
      <fill>
        <patternFill patternType="none">
          <fgColor indexed="64"/>
          <bgColor indexed="65"/>
        </patternFill>
      </fill>
      <alignment horizontal="left" vertical="center" textRotation="0" wrapText="0" indent="1" justifyLastLine="0" shrinkToFit="0" readingOrder="0"/>
    </dxf>
    <dxf>
      <font>
        <b val="0"/>
        <i val="0"/>
        <strike val="0"/>
        <condense val="0"/>
        <extend val="0"/>
        <outline val="0"/>
        <shadow val="0"/>
        <u val="none"/>
        <vertAlign val="baseline"/>
        <sz val="11"/>
        <color auto="1"/>
        <name val="Calibri"/>
        <family val="2"/>
        <scheme val="minor"/>
      </font>
      <numFmt numFmtId="3" formatCode="#,##0"/>
      <fill>
        <patternFill patternType="none">
          <fgColor indexed="64"/>
          <bgColor indexed="65"/>
        </patternFill>
      </fill>
      <alignment horizontal="left" vertical="center" textRotation="0" wrapText="0" indent="1" justifyLastLine="0" shrinkToFit="0" readingOrder="0"/>
    </dxf>
    <dxf>
      <font>
        <b val="0"/>
        <i val="0"/>
        <strike val="0"/>
        <condense val="0"/>
        <extend val="0"/>
        <outline val="0"/>
        <shadow val="0"/>
        <u val="none"/>
        <vertAlign val="baseline"/>
        <sz val="11"/>
        <color auto="1"/>
        <name val="Calibri"/>
        <family val="2"/>
        <scheme val="minor"/>
      </font>
      <numFmt numFmtId="166" formatCode="0.0000"/>
      <fill>
        <patternFill patternType="none">
          <fgColor indexed="64"/>
          <bgColor indexed="65"/>
        </patternFill>
      </fill>
      <alignment horizontal="left" vertical="center" textRotation="0" wrapText="0" indent="1" justifyLastLine="0" shrinkToFit="0" readingOrder="0"/>
    </dxf>
    <dxf>
      <font>
        <b val="0"/>
        <i val="0"/>
        <strike val="0"/>
        <condense val="0"/>
        <extend val="0"/>
        <outline val="0"/>
        <shadow val="0"/>
        <u val="none"/>
        <vertAlign val="baseline"/>
        <sz val="11"/>
        <color auto="1"/>
        <name val="Calibri"/>
        <family val="2"/>
        <scheme val="minor"/>
      </font>
      <numFmt numFmtId="3" formatCode="#,##0"/>
      <fill>
        <patternFill patternType="none">
          <fgColor indexed="64"/>
          <bgColor indexed="65"/>
        </patternFill>
      </fill>
      <alignment horizontal="left" vertical="center" textRotation="0" wrapText="0" indent="1" justifyLastLine="0" shrinkToFit="0" readingOrder="0"/>
    </dxf>
    <dxf>
      <font>
        <b val="0"/>
        <i val="0"/>
        <strike val="0"/>
        <condense val="0"/>
        <extend val="0"/>
        <outline val="0"/>
        <shadow val="0"/>
        <u val="none"/>
        <vertAlign val="baseline"/>
        <sz val="11"/>
        <color auto="1"/>
        <name val="Calibri"/>
        <family val="2"/>
        <scheme val="minor"/>
      </font>
      <numFmt numFmtId="3" formatCode="#,##0"/>
      <fill>
        <patternFill patternType="none">
          <fgColor indexed="64"/>
          <bgColor indexed="65"/>
        </patternFill>
      </fill>
      <alignment horizontal="left" vertical="center" textRotation="0" wrapText="0" indent="1" justifyLastLine="0" shrinkToFit="0" readingOrder="0"/>
    </dxf>
    <dxf>
      <font>
        <b val="0"/>
        <i val="0"/>
        <strike val="0"/>
        <condense val="0"/>
        <extend val="0"/>
        <outline val="0"/>
        <shadow val="0"/>
        <u val="none"/>
        <vertAlign val="baseline"/>
        <sz val="11"/>
        <color auto="1"/>
        <name val="Calibri"/>
        <family val="2"/>
        <scheme val="minor"/>
      </font>
      <numFmt numFmtId="3" formatCode="#,##0"/>
      <fill>
        <patternFill patternType="none">
          <fgColor indexed="64"/>
          <bgColor indexed="65"/>
        </patternFill>
      </fill>
      <alignment horizontal="left" vertical="center" textRotation="0" wrapText="0" indent="1" justifyLastLine="0" shrinkToFit="0" readingOrder="0"/>
    </dxf>
    <dxf>
      <font>
        <b val="0"/>
        <i val="0"/>
        <strike val="0"/>
        <condense val="0"/>
        <extend val="0"/>
        <outline val="0"/>
        <shadow val="0"/>
        <u val="none"/>
        <vertAlign val="baseline"/>
        <sz val="11"/>
        <color auto="1"/>
        <name val="Calibri"/>
        <family val="2"/>
        <scheme val="minor"/>
      </font>
      <numFmt numFmtId="3" formatCode="#,##0"/>
      <fill>
        <patternFill patternType="none">
          <fgColor indexed="64"/>
          <bgColor indexed="65"/>
        </patternFill>
      </fill>
      <alignment horizontal="left" vertical="center" textRotation="0" wrapText="0" indent="1" justifyLastLine="0" shrinkToFit="0" readingOrder="0"/>
    </dxf>
    <dxf>
      <font>
        <b val="0"/>
        <i val="0"/>
        <strike val="0"/>
        <condense val="0"/>
        <extend val="0"/>
        <outline val="0"/>
        <shadow val="0"/>
        <u val="none"/>
        <vertAlign val="baseline"/>
        <sz val="11"/>
        <color auto="1"/>
        <name val="Calibri"/>
        <family val="2"/>
        <scheme val="minor"/>
      </font>
      <numFmt numFmtId="3" formatCode="#,##0"/>
      <fill>
        <patternFill patternType="none">
          <fgColor indexed="64"/>
          <bgColor indexed="65"/>
        </patternFill>
      </fill>
      <alignment horizontal="left" vertical="center" textRotation="0" wrapText="0" indent="1" justifyLastLine="0" shrinkToFit="0" readingOrder="0"/>
    </dxf>
    <dxf>
      <font>
        <b val="0"/>
        <i val="0"/>
        <strike val="0"/>
        <condense val="0"/>
        <extend val="0"/>
        <outline val="0"/>
        <shadow val="0"/>
        <u val="none"/>
        <vertAlign val="baseline"/>
        <sz val="11"/>
        <color auto="1"/>
        <name val="Calibri"/>
        <family val="2"/>
        <scheme val="minor"/>
      </font>
      <numFmt numFmtId="3" formatCode="#,##0"/>
      <fill>
        <patternFill patternType="none">
          <fgColor indexed="64"/>
          <bgColor indexed="65"/>
        </patternFill>
      </fill>
      <alignment horizontal="left" vertical="center" textRotation="0" wrapText="0" indent="1" justifyLastLine="0" shrinkToFit="0" readingOrder="0"/>
    </dxf>
    <dxf>
      <font>
        <b val="0"/>
        <i val="0"/>
        <strike val="0"/>
        <condense val="0"/>
        <extend val="0"/>
        <outline val="0"/>
        <shadow val="0"/>
        <u val="none"/>
        <vertAlign val="baseline"/>
        <sz val="11"/>
        <color auto="1"/>
        <name val="Calibri"/>
        <family val="2"/>
        <scheme val="minor"/>
      </font>
      <numFmt numFmtId="3" formatCode="#,##0"/>
      <fill>
        <patternFill patternType="none">
          <fgColor indexed="64"/>
          <bgColor indexed="65"/>
        </patternFill>
      </fill>
      <alignment horizontal="left" vertical="center" textRotation="0" wrapText="0" indent="1" justifyLastLine="0" shrinkToFit="0" readingOrder="0"/>
    </dxf>
    <dxf>
      <font>
        <b val="0"/>
        <i val="0"/>
        <strike val="0"/>
        <condense val="0"/>
        <extend val="0"/>
        <outline val="0"/>
        <shadow val="0"/>
        <u val="none"/>
        <vertAlign val="baseline"/>
        <sz val="11"/>
        <color auto="1"/>
        <name val="Calibri"/>
        <family val="2"/>
        <scheme val="minor"/>
      </font>
      <numFmt numFmtId="168" formatCode="#,##0_);[Red]\(#,##0\)"/>
      <fill>
        <patternFill patternType="none">
          <fgColor indexed="64"/>
          <bgColor indexed="65"/>
        </patternFill>
      </fill>
      <alignment horizontal="left" vertical="center" textRotation="0" wrapText="0" indent="1" justifyLastLine="0" shrinkToFit="0" readingOrder="0"/>
    </dxf>
    <dxf>
      <font>
        <b val="0"/>
        <i val="0"/>
        <strike val="0"/>
        <condense val="0"/>
        <extend val="0"/>
        <outline val="0"/>
        <shadow val="0"/>
        <u val="none"/>
        <vertAlign val="baseline"/>
        <sz val="11"/>
        <color auto="1"/>
        <name val="Calibri"/>
        <family val="2"/>
        <scheme val="minor"/>
      </font>
      <numFmt numFmtId="3" formatCode="#,##0"/>
      <fill>
        <patternFill patternType="none">
          <fgColor indexed="64"/>
          <bgColor indexed="65"/>
        </patternFill>
      </fill>
      <alignment horizontal="left" vertical="center" textRotation="0" wrapText="0" indent="1" justifyLastLine="0" shrinkToFit="0" readingOrder="0"/>
    </dxf>
    <dxf>
      <font>
        <strike val="0"/>
        <outline val="0"/>
        <shadow val="0"/>
        <u val="none"/>
        <vertAlign val="baseline"/>
        <sz val="11"/>
        <color auto="1"/>
        <name val="Calibri"/>
        <family val="2"/>
        <scheme val="minor"/>
      </font>
      <numFmt numFmtId="13" formatCode="0%"/>
      <alignment horizontal="left" vertical="center" textRotation="0" wrapText="0" indent="1"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center" textRotation="0" wrapText="0" indent="1" justifyLastLine="0" shrinkToFit="0" readingOrder="0"/>
    </dxf>
    <dxf>
      <font>
        <b val="0"/>
        <i val="0"/>
        <strike val="0"/>
        <condense val="0"/>
        <extend val="0"/>
        <outline val="0"/>
        <shadow val="0"/>
        <u val="none"/>
        <vertAlign val="baseline"/>
        <sz val="11"/>
        <color auto="1"/>
        <name val="Calibri"/>
        <family val="2"/>
        <scheme val="minor"/>
      </font>
      <numFmt numFmtId="3" formatCode="#,##0"/>
      <fill>
        <patternFill patternType="none">
          <fgColor indexed="64"/>
          <bgColor indexed="65"/>
        </patternFill>
      </fill>
      <alignment horizontal="left" vertical="center" textRotation="0" wrapText="0" indent="1"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center" textRotation="0" wrapText="1" indent="1"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center" textRotation="0" wrapText="1" indent="1" justifyLastLine="0" shrinkToFit="0" readingOrder="0"/>
    </dxf>
    <dxf>
      <font>
        <b val="0"/>
        <i val="0"/>
        <strike val="0"/>
        <condense val="0"/>
        <extend val="0"/>
        <outline val="0"/>
        <shadow val="0"/>
        <u val="none"/>
        <vertAlign val="baseline"/>
        <sz val="11"/>
        <color auto="1"/>
        <name val="Calibri"/>
        <family val="2"/>
        <scheme val="minor"/>
      </font>
      <numFmt numFmtId="165" formatCode="0.0%"/>
      <fill>
        <patternFill patternType="none">
          <fgColor indexed="64"/>
          <bgColor indexed="65"/>
        </patternFill>
      </fill>
      <alignment horizontal="left" vertical="bottom" textRotation="0" wrapText="1" indent="1" justifyLastLine="0" shrinkToFit="0" readingOrder="0"/>
    </dxf>
    <dxf>
      <font>
        <b val="0"/>
        <i val="0"/>
        <strike val="0"/>
        <condense val="0"/>
        <extend val="0"/>
        <outline val="0"/>
        <shadow val="0"/>
        <u val="none"/>
        <vertAlign val="baseline"/>
        <sz val="11"/>
        <color auto="1"/>
        <name val="Calibri"/>
        <family val="2"/>
        <scheme val="minor"/>
      </font>
      <numFmt numFmtId="165" formatCode="0.0%"/>
      <fill>
        <patternFill patternType="none">
          <fgColor indexed="64"/>
          <bgColor indexed="65"/>
        </patternFill>
      </fill>
      <alignment horizontal="left" vertical="center" textRotation="0" wrapText="1" indent="1"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center" textRotation="0" wrapText="1" indent="1"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center" textRotation="0" wrapText="0" indent="1"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center" textRotation="0" wrapText="0" indent="1"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center" textRotation="0" wrapText="0" indent="1"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center" textRotation="0" wrapText="0" indent="1" justifyLastLine="0" shrinkToFit="0" readingOrder="0"/>
    </dxf>
    <dxf>
      <font>
        <b/>
        <i val="0"/>
        <strike val="0"/>
        <condense val="0"/>
        <extend val="0"/>
        <outline val="0"/>
        <shadow val="0"/>
        <u val="none"/>
        <vertAlign val="baseline"/>
        <sz val="11"/>
        <color rgb="FFFFFFFF"/>
        <name val="Calibri"/>
        <family val="2"/>
        <scheme val="minor"/>
      </font>
      <fill>
        <patternFill patternType="solid">
          <fgColor indexed="64"/>
          <bgColor rgb="FF0066CC"/>
        </patternFill>
      </fill>
      <alignment horizontal="left" vertical="center" textRotation="0" wrapText="1" indent="1"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180975</xdr:colOff>
          <xdr:row>1</xdr:row>
          <xdr:rowOff>19050</xdr:rowOff>
        </xdr:from>
        <xdr:to>
          <xdr:col>0</xdr:col>
          <xdr:colOff>1323975</xdr:colOff>
          <xdr:row>2</xdr:row>
          <xdr:rowOff>114300</xdr:rowOff>
        </xdr:to>
        <xdr:sp macro="" textlink="">
          <xdr:nvSpPr>
            <xdr:cNvPr id="1072" name="Button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xdr:row>
          <xdr:rowOff>0</xdr:rowOff>
        </xdr:from>
        <xdr:to>
          <xdr:col>1</xdr:col>
          <xdr:colOff>0</xdr:colOff>
          <xdr:row>6</xdr:row>
          <xdr:rowOff>0</xdr:rowOff>
        </xdr:to>
        <xdr:sp macro="" textlink="">
          <xdr:nvSpPr>
            <xdr:cNvPr id="1314" name="Button 290" hidden="1">
              <a:extLst>
                <a:ext uri="{63B3BB69-23CF-44E3-9099-C40C66FF867C}">
                  <a14:compatExt spid="_x0000_s1314"/>
                </a:ext>
                <a:ext uri="{FF2B5EF4-FFF2-40B4-BE49-F238E27FC236}">
                  <a16:creationId xmlns:a16="http://schemas.microsoft.com/office/drawing/2014/main" id="{00000000-0008-0000-0000-000022050000}"/>
                </a:ext>
              </a:extLst>
            </xdr:cNvPr>
            <xdr:cNvSpPr/>
          </xdr:nvSpPr>
          <xdr:spPr bwMode="auto">
            <a:xfrm>
              <a:off x="0" y="0"/>
              <a:ext cx="0" cy="0"/>
            </a:xfrm>
            <a:prstGeom prst="rect">
              <a:avLst/>
            </a:prstGeom>
            <a:noFill/>
            <a:ln w="9525">
              <a:miter lim="800000"/>
              <a:headEnd/>
              <a:tailEnd/>
            </a:ln>
          </xdr:spPr>
          <xdr:txBody>
            <a:bodyPr vertOverflow="clip" wrap="square" lIns="54864" tIns="22860" rIns="54864" bIns="22860"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5</xdr:row>
          <xdr:rowOff>0</xdr:rowOff>
        </xdr:from>
        <xdr:to>
          <xdr:col>2</xdr:col>
          <xdr:colOff>0</xdr:colOff>
          <xdr:row>6</xdr:row>
          <xdr:rowOff>0</xdr:rowOff>
        </xdr:to>
        <xdr:sp macro="" textlink="">
          <xdr:nvSpPr>
            <xdr:cNvPr id="1315" name="Button 291" hidden="1">
              <a:extLst>
                <a:ext uri="{63B3BB69-23CF-44E3-9099-C40C66FF867C}">
                  <a14:compatExt spid="_x0000_s1315"/>
                </a:ext>
                <a:ext uri="{FF2B5EF4-FFF2-40B4-BE49-F238E27FC236}">
                  <a16:creationId xmlns:a16="http://schemas.microsoft.com/office/drawing/2014/main" id="{00000000-0008-0000-0000-000023050000}"/>
                </a:ext>
              </a:extLst>
            </xdr:cNvPr>
            <xdr:cNvSpPr/>
          </xdr:nvSpPr>
          <xdr:spPr bwMode="auto">
            <a:xfrm>
              <a:off x="0" y="0"/>
              <a:ext cx="0" cy="0"/>
            </a:xfrm>
            <a:prstGeom prst="rect">
              <a:avLst/>
            </a:prstGeom>
            <a:noFill/>
            <a:ln w="9525">
              <a:miter lim="800000"/>
              <a:headEnd/>
              <a:tailEnd/>
            </a:ln>
          </xdr:spPr>
          <xdr:txBody>
            <a:bodyPr vertOverflow="clip" wrap="square" lIns="54864" tIns="22860" rIns="54864" bIns="22860"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5</xdr:row>
          <xdr:rowOff>0</xdr:rowOff>
        </xdr:from>
        <xdr:to>
          <xdr:col>3</xdr:col>
          <xdr:colOff>0</xdr:colOff>
          <xdr:row>6</xdr:row>
          <xdr:rowOff>0</xdr:rowOff>
        </xdr:to>
        <xdr:sp macro="" textlink="">
          <xdr:nvSpPr>
            <xdr:cNvPr id="1316" name="Button 292" hidden="1">
              <a:extLst>
                <a:ext uri="{63B3BB69-23CF-44E3-9099-C40C66FF867C}">
                  <a14:compatExt spid="_x0000_s1316"/>
                </a:ext>
                <a:ext uri="{FF2B5EF4-FFF2-40B4-BE49-F238E27FC236}">
                  <a16:creationId xmlns:a16="http://schemas.microsoft.com/office/drawing/2014/main" id="{00000000-0008-0000-0000-00002405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000" b="0" i="0" u="none" strike="noStrike" baseline="0">
                  <a:solidFill>
                    <a:srgbClr val="000080"/>
                  </a:solidFill>
                  <a:latin typeface="Wingdings 3"/>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5</xdr:row>
          <xdr:rowOff>0</xdr:rowOff>
        </xdr:from>
        <xdr:to>
          <xdr:col>4</xdr:col>
          <xdr:colOff>0</xdr:colOff>
          <xdr:row>6</xdr:row>
          <xdr:rowOff>0</xdr:rowOff>
        </xdr:to>
        <xdr:sp macro="" textlink="">
          <xdr:nvSpPr>
            <xdr:cNvPr id="1317" name="Button 293" hidden="1">
              <a:extLst>
                <a:ext uri="{63B3BB69-23CF-44E3-9099-C40C66FF867C}">
                  <a14:compatExt spid="_x0000_s1317"/>
                </a:ext>
                <a:ext uri="{FF2B5EF4-FFF2-40B4-BE49-F238E27FC236}">
                  <a16:creationId xmlns:a16="http://schemas.microsoft.com/office/drawing/2014/main" id="{00000000-0008-0000-0000-000025050000}"/>
                </a:ext>
              </a:extLst>
            </xdr:cNvPr>
            <xdr:cNvSpPr/>
          </xdr:nvSpPr>
          <xdr:spPr bwMode="auto">
            <a:xfrm>
              <a:off x="0" y="0"/>
              <a:ext cx="0" cy="0"/>
            </a:xfrm>
            <a:prstGeom prst="rect">
              <a:avLst/>
            </a:prstGeom>
            <a:noFill/>
            <a:ln w="9525">
              <a:miter lim="800000"/>
              <a:headEnd/>
              <a:tailEnd/>
            </a:ln>
          </xdr:spPr>
          <xdr:txBody>
            <a:bodyPr vertOverflow="clip" wrap="square" lIns="54864" tIns="22860" rIns="54864" bIns="22860"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5</xdr:row>
          <xdr:rowOff>0</xdr:rowOff>
        </xdr:from>
        <xdr:to>
          <xdr:col>5</xdr:col>
          <xdr:colOff>0</xdr:colOff>
          <xdr:row>6</xdr:row>
          <xdr:rowOff>0</xdr:rowOff>
        </xdr:to>
        <xdr:sp macro="" textlink="">
          <xdr:nvSpPr>
            <xdr:cNvPr id="1318" name="Button 294" hidden="1">
              <a:extLst>
                <a:ext uri="{63B3BB69-23CF-44E3-9099-C40C66FF867C}">
                  <a14:compatExt spid="_x0000_s1318"/>
                </a:ext>
                <a:ext uri="{FF2B5EF4-FFF2-40B4-BE49-F238E27FC236}">
                  <a16:creationId xmlns:a16="http://schemas.microsoft.com/office/drawing/2014/main" id="{00000000-0008-0000-0000-000026050000}"/>
                </a:ext>
              </a:extLst>
            </xdr:cNvPr>
            <xdr:cNvSpPr/>
          </xdr:nvSpPr>
          <xdr:spPr bwMode="auto">
            <a:xfrm>
              <a:off x="0" y="0"/>
              <a:ext cx="0" cy="0"/>
            </a:xfrm>
            <a:prstGeom prst="rect">
              <a:avLst/>
            </a:prstGeom>
            <a:noFill/>
            <a:ln w="9525">
              <a:miter lim="800000"/>
              <a:headEnd/>
              <a:tailEnd/>
            </a:ln>
          </xdr:spPr>
          <xdr:txBody>
            <a:bodyPr vertOverflow="clip" wrap="square" lIns="54864" tIns="22860" rIns="54864" bIns="22860"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xdr:row>
          <xdr:rowOff>0</xdr:rowOff>
        </xdr:from>
        <xdr:to>
          <xdr:col>6</xdr:col>
          <xdr:colOff>0</xdr:colOff>
          <xdr:row>6</xdr:row>
          <xdr:rowOff>0</xdr:rowOff>
        </xdr:to>
        <xdr:sp macro="" textlink="">
          <xdr:nvSpPr>
            <xdr:cNvPr id="1319" name="Button 295" hidden="1">
              <a:extLst>
                <a:ext uri="{63B3BB69-23CF-44E3-9099-C40C66FF867C}">
                  <a14:compatExt spid="_x0000_s1319"/>
                </a:ext>
                <a:ext uri="{FF2B5EF4-FFF2-40B4-BE49-F238E27FC236}">
                  <a16:creationId xmlns:a16="http://schemas.microsoft.com/office/drawing/2014/main" id="{00000000-0008-0000-0000-000027050000}"/>
                </a:ext>
              </a:extLst>
            </xdr:cNvPr>
            <xdr:cNvSpPr/>
          </xdr:nvSpPr>
          <xdr:spPr bwMode="auto">
            <a:xfrm>
              <a:off x="0" y="0"/>
              <a:ext cx="0" cy="0"/>
            </a:xfrm>
            <a:prstGeom prst="rect">
              <a:avLst/>
            </a:prstGeom>
            <a:noFill/>
            <a:ln w="9525">
              <a:miter lim="800000"/>
              <a:headEnd/>
              <a:tailEnd/>
            </a:ln>
          </xdr:spPr>
          <xdr:txBody>
            <a:bodyPr vertOverflow="clip" wrap="square" lIns="54864" tIns="22860" rIns="54864" bIns="22860"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5</xdr:row>
          <xdr:rowOff>0</xdr:rowOff>
        </xdr:from>
        <xdr:to>
          <xdr:col>7</xdr:col>
          <xdr:colOff>0</xdr:colOff>
          <xdr:row>6</xdr:row>
          <xdr:rowOff>0</xdr:rowOff>
        </xdr:to>
        <xdr:sp macro="" textlink="">
          <xdr:nvSpPr>
            <xdr:cNvPr id="1320" name="Button 296" hidden="1">
              <a:extLst>
                <a:ext uri="{63B3BB69-23CF-44E3-9099-C40C66FF867C}">
                  <a14:compatExt spid="_x0000_s1320"/>
                </a:ext>
                <a:ext uri="{FF2B5EF4-FFF2-40B4-BE49-F238E27FC236}">
                  <a16:creationId xmlns:a16="http://schemas.microsoft.com/office/drawing/2014/main" id="{00000000-0008-0000-0000-000028050000}"/>
                </a:ext>
              </a:extLst>
            </xdr:cNvPr>
            <xdr:cNvSpPr/>
          </xdr:nvSpPr>
          <xdr:spPr bwMode="auto">
            <a:xfrm>
              <a:off x="0" y="0"/>
              <a:ext cx="0" cy="0"/>
            </a:xfrm>
            <a:prstGeom prst="rect">
              <a:avLst/>
            </a:prstGeom>
            <a:noFill/>
            <a:ln w="9525">
              <a:miter lim="800000"/>
              <a:headEnd/>
              <a:tailEnd/>
            </a:ln>
          </xdr:spPr>
          <xdr:txBody>
            <a:bodyPr vertOverflow="clip" wrap="square" lIns="54864" tIns="22860" rIns="54864" bIns="22860"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5</xdr:row>
          <xdr:rowOff>0</xdr:rowOff>
        </xdr:from>
        <xdr:to>
          <xdr:col>8</xdr:col>
          <xdr:colOff>0</xdr:colOff>
          <xdr:row>6</xdr:row>
          <xdr:rowOff>0</xdr:rowOff>
        </xdr:to>
        <xdr:sp macro="" textlink="">
          <xdr:nvSpPr>
            <xdr:cNvPr id="1321" name="Button 297" hidden="1">
              <a:extLst>
                <a:ext uri="{63B3BB69-23CF-44E3-9099-C40C66FF867C}">
                  <a14:compatExt spid="_x0000_s1321"/>
                </a:ext>
                <a:ext uri="{FF2B5EF4-FFF2-40B4-BE49-F238E27FC236}">
                  <a16:creationId xmlns:a16="http://schemas.microsoft.com/office/drawing/2014/main" id="{00000000-0008-0000-0000-000029050000}"/>
                </a:ext>
              </a:extLst>
            </xdr:cNvPr>
            <xdr:cNvSpPr/>
          </xdr:nvSpPr>
          <xdr:spPr bwMode="auto">
            <a:xfrm>
              <a:off x="0" y="0"/>
              <a:ext cx="0" cy="0"/>
            </a:xfrm>
            <a:prstGeom prst="rect">
              <a:avLst/>
            </a:prstGeom>
            <a:noFill/>
            <a:ln w="9525">
              <a:miter lim="800000"/>
              <a:headEnd/>
              <a:tailEnd/>
            </a:ln>
          </xdr:spPr>
          <xdr:txBody>
            <a:bodyPr vertOverflow="clip" wrap="square" lIns="54864" tIns="22860" rIns="54864" bIns="22860"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5</xdr:row>
          <xdr:rowOff>0</xdr:rowOff>
        </xdr:from>
        <xdr:to>
          <xdr:col>9</xdr:col>
          <xdr:colOff>0</xdr:colOff>
          <xdr:row>6</xdr:row>
          <xdr:rowOff>0</xdr:rowOff>
        </xdr:to>
        <xdr:sp macro="" textlink="">
          <xdr:nvSpPr>
            <xdr:cNvPr id="1322" name="Button 298" hidden="1">
              <a:extLst>
                <a:ext uri="{63B3BB69-23CF-44E3-9099-C40C66FF867C}">
                  <a14:compatExt spid="_x0000_s1322"/>
                </a:ext>
                <a:ext uri="{FF2B5EF4-FFF2-40B4-BE49-F238E27FC236}">
                  <a16:creationId xmlns:a16="http://schemas.microsoft.com/office/drawing/2014/main" id="{00000000-0008-0000-0000-00002A050000}"/>
                </a:ext>
              </a:extLst>
            </xdr:cNvPr>
            <xdr:cNvSpPr/>
          </xdr:nvSpPr>
          <xdr:spPr bwMode="auto">
            <a:xfrm>
              <a:off x="0" y="0"/>
              <a:ext cx="0" cy="0"/>
            </a:xfrm>
            <a:prstGeom prst="rect">
              <a:avLst/>
            </a:prstGeom>
            <a:noFill/>
            <a:ln w="9525">
              <a:miter lim="800000"/>
              <a:headEnd/>
              <a:tailEnd/>
            </a:ln>
          </xdr:spPr>
          <xdr:txBody>
            <a:bodyPr vertOverflow="clip" wrap="square" lIns="54864" tIns="22860" rIns="54864" bIns="22860"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5</xdr:row>
          <xdr:rowOff>0</xdr:rowOff>
        </xdr:from>
        <xdr:to>
          <xdr:col>10</xdr:col>
          <xdr:colOff>0</xdr:colOff>
          <xdr:row>6</xdr:row>
          <xdr:rowOff>0</xdr:rowOff>
        </xdr:to>
        <xdr:sp macro="" textlink="">
          <xdr:nvSpPr>
            <xdr:cNvPr id="1323" name="Button 299" hidden="1">
              <a:extLst>
                <a:ext uri="{63B3BB69-23CF-44E3-9099-C40C66FF867C}">
                  <a14:compatExt spid="_x0000_s1323"/>
                </a:ext>
                <a:ext uri="{FF2B5EF4-FFF2-40B4-BE49-F238E27FC236}">
                  <a16:creationId xmlns:a16="http://schemas.microsoft.com/office/drawing/2014/main" id="{00000000-0008-0000-0000-00002B050000}"/>
                </a:ext>
              </a:extLst>
            </xdr:cNvPr>
            <xdr:cNvSpPr/>
          </xdr:nvSpPr>
          <xdr:spPr bwMode="auto">
            <a:xfrm>
              <a:off x="0" y="0"/>
              <a:ext cx="0" cy="0"/>
            </a:xfrm>
            <a:prstGeom prst="rect">
              <a:avLst/>
            </a:prstGeom>
            <a:noFill/>
            <a:ln w="9525">
              <a:miter lim="800000"/>
              <a:headEnd/>
              <a:tailEnd/>
            </a:ln>
          </xdr:spPr>
          <xdr:txBody>
            <a:bodyPr vertOverflow="clip" wrap="square" lIns="54864" tIns="22860" rIns="54864" bIns="22860"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5</xdr:row>
          <xdr:rowOff>0</xdr:rowOff>
        </xdr:from>
        <xdr:to>
          <xdr:col>11</xdr:col>
          <xdr:colOff>0</xdr:colOff>
          <xdr:row>6</xdr:row>
          <xdr:rowOff>0</xdr:rowOff>
        </xdr:to>
        <xdr:sp macro="" textlink="">
          <xdr:nvSpPr>
            <xdr:cNvPr id="1324" name="Button 300" hidden="1">
              <a:extLst>
                <a:ext uri="{63B3BB69-23CF-44E3-9099-C40C66FF867C}">
                  <a14:compatExt spid="_x0000_s1324"/>
                </a:ext>
                <a:ext uri="{FF2B5EF4-FFF2-40B4-BE49-F238E27FC236}">
                  <a16:creationId xmlns:a16="http://schemas.microsoft.com/office/drawing/2014/main" id="{00000000-0008-0000-0000-00002C050000}"/>
                </a:ext>
              </a:extLst>
            </xdr:cNvPr>
            <xdr:cNvSpPr/>
          </xdr:nvSpPr>
          <xdr:spPr bwMode="auto">
            <a:xfrm>
              <a:off x="0" y="0"/>
              <a:ext cx="0" cy="0"/>
            </a:xfrm>
            <a:prstGeom prst="rect">
              <a:avLst/>
            </a:prstGeom>
            <a:noFill/>
            <a:ln w="9525">
              <a:miter lim="800000"/>
              <a:headEnd/>
              <a:tailEnd/>
            </a:ln>
          </xdr:spPr>
          <xdr:txBody>
            <a:bodyPr vertOverflow="clip" wrap="square" lIns="54864" tIns="22860" rIns="54864" bIns="22860"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5</xdr:row>
          <xdr:rowOff>0</xdr:rowOff>
        </xdr:from>
        <xdr:to>
          <xdr:col>12</xdr:col>
          <xdr:colOff>0</xdr:colOff>
          <xdr:row>6</xdr:row>
          <xdr:rowOff>0</xdr:rowOff>
        </xdr:to>
        <xdr:sp macro="" textlink="">
          <xdr:nvSpPr>
            <xdr:cNvPr id="1325" name="Button 301" hidden="1">
              <a:extLst>
                <a:ext uri="{63B3BB69-23CF-44E3-9099-C40C66FF867C}">
                  <a14:compatExt spid="_x0000_s1325"/>
                </a:ext>
                <a:ext uri="{FF2B5EF4-FFF2-40B4-BE49-F238E27FC236}">
                  <a16:creationId xmlns:a16="http://schemas.microsoft.com/office/drawing/2014/main" id="{00000000-0008-0000-0000-00002D050000}"/>
                </a:ext>
              </a:extLst>
            </xdr:cNvPr>
            <xdr:cNvSpPr/>
          </xdr:nvSpPr>
          <xdr:spPr bwMode="auto">
            <a:xfrm>
              <a:off x="0" y="0"/>
              <a:ext cx="0" cy="0"/>
            </a:xfrm>
            <a:prstGeom prst="rect">
              <a:avLst/>
            </a:prstGeom>
            <a:noFill/>
            <a:ln w="9525">
              <a:miter lim="800000"/>
              <a:headEnd/>
              <a:tailEnd/>
            </a:ln>
          </xdr:spPr>
          <xdr:txBody>
            <a:bodyPr vertOverflow="clip" wrap="square" lIns="54864" tIns="22860" rIns="54864" bIns="22860"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5</xdr:row>
          <xdr:rowOff>0</xdr:rowOff>
        </xdr:from>
        <xdr:to>
          <xdr:col>13</xdr:col>
          <xdr:colOff>0</xdr:colOff>
          <xdr:row>6</xdr:row>
          <xdr:rowOff>0</xdr:rowOff>
        </xdr:to>
        <xdr:sp macro="" textlink="">
          <xdr:nvSpPr>
            <xdr:cNvPr id="1326" name="Button 302" hidden="1">
              <a:extLst>
                <a:ext uri="{63B3BB69-23CF-44E3-9099-C40C66FF867C}">
                  <a14:compatExt spid="_x0000_s1326"/>
                </a:ext>
                <a:ext uri="{FF2B5EF4-FFF2-40B4-BE49-F238E27FC236}">
                  <a16:creationId xmlns:a16="http://schemas.microsoft.com/office/drawing/2014/main" id="{00000000-0008-0000-0000-00002E050000}"/>
                </a:ext>
              </a:extLst>
            </xdr:cNvPr>
            <xdr:cNvSpPr/>
          </xdr:nvSpPr>
          <xdr:spPr bwMode="auto">
            <a:xfrm>
              <a:off x="0" y="0"/>
              <a:ext cx="0" cy="0"/>
            </a:xfrm>
            <a:prstGeom prst="rect">
              <a:avLst/>
            </a:prstGeom>
            <a:noFill/>
            <a:ln w="9525">
              <a:miter lim="800000"/>
              <a:headEnd/>
              <a:tailEnd/>
            </a:ln>
          </xdr:spPr>
          <xdr:txBody>
            <a:bodyPr vertOverflow="clip" wrap="square" lIns="54864" tIns="22860" rIns="54864" bIns="22860"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5</xdr:row>
          <xdr:rowOff>0</xdr:rowOff>
        </xdr:from>
        <xdr:to>
          <xdr:col>14</xdr:col>
          <xdr:colOff>0</xdr:colOff>
          <xdr:row>6</xdr:row>
          <xdr:rowOff>0</xdr:rowOff>
        </xdr:to>
        <xdr:sp macro="" textlink="">
          <xdr:nvSpPr>
            <xdr:cNvPr id="1327" name="Button 303" hidden="1">
              <a:extLst>
                <a:ext uri="{63B3BB69-23CF-44E3-9099-C40C66FF867C}">
                  <a14:compatExt spid="_x0000_s1327"/>
                </a:ext>
                <a:ext uri="{FF2B5EF4-FFF2-40B4-BE49-F238E27FC236}">
                  <a16:creationId xmlns:a16="http://schemas.microsoft.com/office/drawing/2014/main" id="{00000000-0008-0000-0000-00002F050000}"/>
                </a:ext>
              </a:extLst>
            </xdr:cNvPr>
            <xdr:cNvSpPr/>
          </xdr:nvSpPr>
          <xdr:spPr bwMode="auto">
            <a:xfrm>
              <a:off x="0" y="0"/>
              <a:ext cx="0" cy="0"/>
            </a:xfrm>
            <a:prstGeom prst="rect">
              <a:avLst/>
            </a:prstGeom>
            <a:noFill/>
            <a:ln w="9525">
              <a:miter lim="800000"/>
              <a:headEnd/>
              <a:tailEnd/>
            </a:ln>
          </xdr:spPr>
          <xdr:txBody>
            <a:bodyPr vertOverflow="clip" wrap="square" lIns="54864" tIns="22860" rIns="54864" bIns="22860"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5</xdr:row>
          <xdr:rowOff>0</xdr:rowOff>
        </xdr:from>
        <xdr:to>
          <xdr:col>15</xdr:col>
          <xdr:colOff>0</xdr:colOff>
          <xdr:row>6</xdr:row>
          <xdr:rowOff>0</xdr:rowOff>
        </xdr:to>
        <xdr:sp macro="" textlink="">
          <xdr:nvSpPr>
            <xdr:cNvPr id="1328" name="Button 304" hidden="1">
              <a:extLst>
                <a:ext uri="{63B3BB69-23CF-44E3-9099-C40C66FF867C}">
                  <a14:compatExt spid="_x0000_s1328"/>
                </a:ext>
                <a:ext uri="{FF2B5EF4-FFF2-40B4-BE49-F238E27FC236}">
                  <a16:creationId xmlns:a16="http://schemas.microsoft.com/office/drawing/2014/main" id="{00000000-0008-0000-0000-000030050000}"/>
                </a:ext>
              </a:extLst>
            </xdr:cNvPr>
            <xdr:cNvSpPr/>
          </xdr:nvSpPr>
          <xdr:spPr bwMode="auto">
            <a:xfrm>
              <a:off x="0" y="0"/>
              <a:ext cx="0" cy="0"/>
            </a:xfrm>
            <a:prstGeom prst="rect">
              <a:avLst/>
            </a:prstGeom>
            <a:noFill/>
            <a:ln w="9525">
              <a:miter lim="800000"/>
              <a:headEnd/>
              <a:tailEnd/>
            </a:ln>
          </xdr:spPr>
          <xdr:txBody>
            <a:bodyPr vertOverflow="clip" wrap="square" lIns="54864" tIns="22860" rIns="54864" bIns="22860"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5</xdr:row>
          <xdr:rowOff>0</xdr:rowOff>
        </xdr:from>
        <xdr:to>
          <xdr:col>16</xdr:col>
          <xdr:colOff>0</xdr:colOff>
          <xdr:row>6</xdr:row>
          <xdr:rowOff>0</xdr:rowOff>
        </xdr:to>
        <xdr:sp macro="" textlink="">
          <xdr:nvSpPr>
            <xdr:cNvPr id="1329" name="Button 305" hidden="1">
              <a:extLst>
                <a:ext uri="{63B3BB69-23CF-44E3-9099-C40C66FF867C}">
                  <a14:compatExt spid="_x0000_s1329"/>
                </a:ext>
                <a:ext uri="{FF2B5EF4-FFF2-40B4-BE49-F238E27FC236}">
                  <a16:creationId xmlns:a16="http://schemas.microsoft.com/office/drawing/2014/main" id="{00000000-0008-0000-0000-000031050000}"/>
                </a:ext>
              </a:extLst>
            </xdr:cNvPr>
            <xdr:cNvSpPr/>
          </xdr:nvSpPr>
          <xdr:spPr bwMode="auto">
            <a:xfrm>
              <a:off x="0" y="0"/>
              <a:ext cx="0" cy="0"/>
            </a:xfrm>
            <a:prstGeom prst="rect">
              <a:avLst/>
            </a:prstGeom>
            <a:noFill/>
            <a:ln w="9525">
              <a:miter lim="800000"/>
              <a:headEnd/>
              <a:tailEnd/>
            </a:ln>
          </xdr:spPr>
          <xdr:txBody>
            <a:bodyPr vertOverflow="clip" wrap="square" lIns="54864" tIns="22860" rIns="54864" bIns="22860"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5</xdr:row>
          <xdr:rowOff>0</xdr:rowOff>
        </xdr:from>
        <xdr:to>
          <xdr:col>17</xdr:col>
          <xdr:colOff>0</xdr:colOff>
          <xdr:row>6</xdr:row>
          <xdr:rowOff>0</xdr:rowOff>
        </xdr:to>
        <xdr:sp macro="" textlink="">
          <xdr:nvSpPr>
            <xdr:cNvPr id="1330" name="Button 306" hidden="1">
              <a:extLst>
                <a:ext uri="{63B3BB69-23CF-44E3-9099-C40C66FF867C}">
                  <a14:compatExt spid="_x0000_s1330"/>
                </a:ext>
                <a:ext uri="{FF2B5EF4-FFF2-40B4-BE49-F238E27FC236}">
                  <a16:creationId xmlns:a16="http://schemas.microsoft.com/office/drawing/2014/main" id="{00000000-0008-0000-0000-000032050000}"/>
                </a:ext>
              </a:extLst>
            </xdr:cNvPr>
            <xdr:cNvSpPr/>
          </xdr:nvSpPr>
          <xdr:spPr bwMode="auto">
            <a:xfrm>
              <a:off x="0" y="0"/>
              <a:ext cx="0" cy="0"/>
            </a:xfrm>
            <a:prstGeom prst="rect">
              <a:avLst/>
            </a:prstGeom>
            <a:noFill/>
            <a:ln w="9525">
              <a:miter lim="800000"/>
              <a:headEnd/>
              <a:tailEnd/>
            </a:ln>
          </xdr:spPr>
          <xdr:txBody>
            <a:bodyPr vertOverflow="clip" wrap="square" lIns="54864" tIns="22860" rIns="54864" bIns="22860"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5</xdr:row>
          <xdr:rowOff>0</xdr:rowOff>
        </xdr:from>
        <xdr:to>
          <xdr:col>18</xdr:col>
          <xdr:colOff>0</xdr:colOff>
          <xdr:row>6</xdr:row>
          <xdr:rowOff>0</xdr:rowOff>
        </xdr:to>
        <xdr:sp macro="" textlink="">
          <xdr:nvSpPr>
            <xdr:cNvPr id="1331" name="Button 307" hidden="1">
              <a:extLst>
                <a:ext uri="{63B3BB69-23CF-44E3-9099-C40C66FF867C}">
                  <a14:compatExt spid="_x0000_s1331"/>
                </a:ext>
                <a:ext uri="{FF2B5EF4-FFF2-40B4-BE49-F238E27FC236}">
                  <a16:creationId xmlns:a16="http://schemas.microsoft.com/office/drawing/2014/main" id="{00000000-0008-0000-0000-000033050000}"/>
                </a:ext>
              </a:extLst>
            </xdr:cNvPr>
            <xdr:cNvSpPr/>
          </xdr:nvSpPr>
          <xdr:spPr bwMode="auto">
            <a:xfrm>
              <a:off x="0" y="0"/>
              <a:ext cx="0" cy="0"/>
            </a:xfrm>
            <a:prstGeom prst="rect">
              <a:avLst/>
            </a:prstGeom>
            <a:noFill/>
            <a:ln w="9525">
              <a:miter lim="800000"/>
              <a:headEnd/>
              <a:tailEnd/>
            </a:ln>
          </xdr:spPr>
          <xdr:txBody>
            <a:bodyPr vertOverflow="clip" wrap="square" lIns="54864" tIns="22860" rIns="54864" bIns="22860"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0</xdr:colOff>
          <xdr:row>5</xdr:row>
          <xdr:rowOff>0</xdr:rowOff>
        </xdr:from>
        <xdr:to>
          <xdr:col>19</xdr:col>
          <xdr:colOff>0</xdr:colOff>
          <xdr:row>6</xdr:row>
          <xdr:rowOff>0</xdr:rowOff>
        </xdr:to>
        <xdr:sp macro="" textlink="">
          <xdr:nvSpPr>
            <xdr:cNvPr id="1332" name="Button 308" hidden="1">
              <a:extLst>
                <a:ext uri="{63B3BB69-23CF-44E3-9099-C40C66FF867C}">
                  <a14:compatExt spid="_x0000_s1332"/>
                </a:ext>
                <a:ext uri="{FF2B5EF4-FFF2-40B4-BE49-F238E27FC236}">
                  <a16:creationId xmlns:a16="http://schemas.microsoft.com/office/drawing/2014/main" id="{00000000-0008-0000-0000-000034050000}"/>
                </a:ext>
              </a:extLst>
            </xdr:cNvPr>
            <xdr:cNvSpPr/>
          </xdr:nvSpPr>
          <xdr:spPr bwMode="auto">
            <a:xfrm>
              <a:off x="0" y="0"/>
              <a:ext cx="0" cy="0"/>
            </a:xfrm>
            <a:prstGeom prst="rect">
              <a:avLst/>
            </a:prstGeom>
            <a:noFill/>
            <a:ln w="9525">
              <a:miter lim="800000"/>
              <a:headEnd/>
              <a:tailEnd/>
            </a:ln>
          </xdr:spPr>
          <xdr:txBody>
            <a:bodyPr vertOverflow="clip" wrap="square" lIns="54864" tIns="22860" rIns="54864" bIns="22860"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0</xdr:colOff>
          <xdr:row>5</xdr:row>
          <xdr:rowOff>0</xdr:rowOff>
        </xdr:from>
        <xdr:to>
          <xdr:col>20</xdr:col>
          <xdr:colOff>0</xdr:colOff>
          <xdr:row>6</xdr:row>
          <xdr:rowOff>0</xdr:rowOff>
        </xdr:to>
        <xdr:sp macro="" textlink="">
          <xdr:nvSpPr>
            <xdr:cNvPr id="1333" name="Button 309" hidden="1">
              <a:extLst>
                <a:ext uri="{63B3BB69-23CF-44E3-9099-C40C66FF867C}">
                  <a14:compatExt spid="_x0000_s1333"/>
                </a:ext>
                <a:ext uri="{FF2B5EF4-FFF2-40B4-BE49-F238E27FC236}">
                  <a16:creationId xmlns:a16="http://schemas.microsoft.com/office/drawing/2014/main" id="{00000000-0008-0000-0000-000035050000}"/>
                </a:ext>
              </a:extLst>
            </xdr:cNvPr>
            <xdr:cNvSpPr/>
          </xdr:nvSpPr>
          <xdr:spPr bwMode="auto">
            <a:xfrm>
              <a:off x="0" y="0"/>
              <a:ext cx="0" cy="0"/>
            </a:xfrm>
            <a:prstGeom prst="rect">
              <a:avLst/>
            </a:prstGeom>
            <a:noFill/>
            <a:ln w="9525">
              <a:miter lim="800000"/>
              <a:headEnd/>
              <a:tailEnd/>
            </a:ln>
          </xdr:spPr>
          <xdr:txBody>
            <a:bodyPr vertOverflow="clip" wrap="square" lIns="54864" tIns="22860" rIns="54864" bIns="22860"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5</xdr:row>
          <xdr:rowOff>0</xdr:rowOff>
        </xdr:from>
        <xdr:to>
          <xdr:col>21</xdr:col>
          <xdr:colOff>0</xdr:colOff>
          <xdr:row>6</xdr:row>
          <xdr:rowOff>0</xdr:rowOff>
        </xdr:to>
        <xdr:sp macro="" textlink="">
          <xdr:nvSpPr>
            <xdr:cNvPr id="1334" name="Button 310" hidden="1">
              <a:extLst>
                <a:ext uri="{63B3BB69-23CF-44E3-9099-C40C66FF867C}">
                  <a14:compatExt spid="_x0000_s1334"/>
                </a:ext>
                <a:ext uri="{FF2B5EF4-FFF2-40B4-BE49-F238E27FC236}">
                  <a16:creationId xmlns:a16="http://schemas.microsoft.com/office/drawing/2014/main" id="{00000000-0008-0000-0000-000036050000}"/>
                </a:ext>
              </a:extLst>
            </xdr:cNvPr>
            <xdr:cNvSpPr/>
          </xdr:nvSpPr>
          <xdr:spPr bwMode="auto">
            <a:xfrm>
              <a:off x="0" y="0"/>
              <a:ext cx="0" cy="0"/>
            </a:xfrm>
            <a:prstGeom prst="rect">
              <a:avLst/>
            </a:prstGeom>
            <a:noFill/>
            <a:ln w="9525">
              <a:miter lim="800000"/>
              <a:headEnd/>
              <a:tailEnd/>
            </a:ln>
          </xdr:spPr>
          <xdr:txBody>
            <a:bodyPr vertOverflow="clip" wrap="square" lIns="54864" tIns="22860" rIns="54864" bIns="22860"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0</xdr:colOff>
          <xdr:row>5</xdr:row>
          <xdr:rowOff>0</xdr:rowOff>
        </xdr:from>
        <xdr:to>
          <xdr:col>22</xdr:col>
          <xdr:colOff>0</xdr:colOff>
          <xdr:row>6</xdr:row>
          <xdr:rowOff>0</xdr:rowOff>
        </xdr:to>
        <xdr:sp macro="" textlink="">
          <xdr:nvSpPr>
            <xdr:cNvPr id="1335" name="Button 311" hidden="1">
              <a:extLst>
                <a:ext uri="{63B3BB69-23CF-44E3-9099-C40C66FF867C}">
                  <a14:compatExt spid="_x0000_s1335"/>
                </a:ext>
                <a:ext uri="{FF2B5EF4-FFF2-40B4-BE49-F238E27FC236}">
                  <a16:creationId xmlns:a16="http://schemas.microsoft.com/office/drawing/2014/main" id="{00000000-0008-0000-0000-000037050000}"/>
                </a:ext>
              </a:extLst>
            </xdr:cNvPr>
            <xdr:cNvSpPr/>
          </xdr:nvSpPr>
          <xdr:spPr bwMode="auto">
            <a:xfrm>
              <a:off x="0" y="0"/>
              <a:ext cx="0" cy="0"/>
            </a:xfrm>
            <a:prstGeom prst="rect">
              <a:avLst/>
            </a:prstGeom>
            <a:noFill/>
            <a:ln w="9525">
              <a:miter lim="800000"/>
              <a:headEnd/>
              <a:tailEnd/>
            </a:ln>
          </xdr:spPr>
          <xdr:txBody>
            <a:bodyPr vertOverflow="clip" wrap="square" lIns="54864" tIns="22860" rIns="54864" bIns="22860"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0</xdr:colOff>
          <xdr:row>5</xdr:row>
          <xdr:rowOff>0</xdr:rowOff>
        </xdr:from>
        <xdr:to>
          <xdr:col>23</xdr:col>
          <xdr:colOff>0</xdr:colOff>
          <xdr:row>6</xdr:row>
          <xdr:rowOff>0</xdr:rowOff>
        </xdr:to>
        <xdr:sp macro="" textlink="">
          <xdr:nvSpPr>
            <xdr:cNvPr id="1336" name="Button 312" hidden="1">
              <a:extLst>
                <a:ext uri="{63B3BB69-23CF-44E3-9099-C40C66FF867C}">
                  <a14:compatExt spid="_x0000_s1336"/>
                </a:ext>
                <a:ext uri="{FF2B5EF4-FFF2-40B4-BE49-F238E27FC236}">
                  <a16:creationId xmlns:a16="http://schemas.microsoft.com/office/drawing/2014/main" id="{00000000-0008-0000-0000-000038050000}"/>
                </a:ext>
              </a:extLst>
            </xdr:cNvPr>
            <xdr:cNvSpPr/>
          </xdr:nvSpPr>
          <xdr:spPr bwMode="auto">
            <a:xfrm>
              <a:off x="0" y="0"/>
              <a:ext cx="0" cy="0"/>
            </a:xfrm>
            <a:prstGeom prst="rect">
              <a:avLst/>
            </a:prstGeom>
            <a:noFill/>
            <a:ln w="9525">
              <a:miter lim="800000"/>
              <a:headEnd/>
              <a:tailEnd/>
            </a:ln>
          </xdr:spPr>
          <xdr:txBody>
            <a:bodyPr vertOverflow="clip" wrap="square" lIns="54864" tIns="22860" rIns="54864" bIns="22860"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0</xdr:colOff>
          <xdr:row>5</xdr:row>
          <xdr:rowOff>0</xdr:rowOff>
        </xdr:from>
        <xdr:to>
          <xdr:col>24</xdr:col>
          <xdr:colOff>0</xdr:colOff>
          <xdr:row>6</xdr:row>
          <xdr:rowOff>0</xdr:rowOff>
        </xdr:to>
        <xdr:sp macro="" textlink="">
          <xdr:nvSpPr>
            <xdr:cNvPr id="1337" name="Button 313" hidden="1">
              <a:extLst>
                <a:ext uri="{63B3BB69-23CF-44E3-9099-C40C66FF867C}">
                  <a14:compatExt spid="_x0000_s1337"/>
                </a:ext>
                <a:ext uri="{FF2B5EF4-FFF2-40B4-BE49-F238E27FC236}">
                  <a16:creationId xmlns:a16="http://schemas.microsoft.com/office/drawing/2014/main" id="{00000000-0008-0000-0000-000039050000}"/>
                </a:ext>
              </a:extLst>
            </xdr:cNvPr>
            <xdr:cNvSpPr/>
          </xdr:nvSpPr>
          <xdr:spPr bwMode="auto">
            <a:xfrm>
              <a:off x="0" y="0"/>
              <a:ext cx="0" cy="0"/>
            </a:xfrm>
            <a:prstGeom prst="rect">
              <a:avLst/>
            </a:prstGeom>
            <a:noFill/>
            <a:ln w="9525">
              <a:miter lim="800000"/>
              <a:headEnd/>
              <a:tailEnd/>
            </a:ln>
          </xdr:spPr>
          <xdr:txBody>
            <a:bodyPr vertOverflow="clip" wrap="square" lIns="54864" tIns="22860" rIns="54864" bIns="22860"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0</xdr:colOff>
          <xdr:row>5</xdr:row>
          <xdr:rowOff>0</xdr:rowOff>
        </xdr:from>
        <xdr:to>
          <xdr:col>25</xdr:col>
          <xdr:colOff>0</xdr:colOff>
          <xdr:row>6</xdr:row>
          <xdr:rowOff>0</xdr:rowOff>
        </xdr:to>
        <xdr:sp macro="" textlink="">
          <xdr:nvSpPr>
            <xdr:cNvPr id="1338" name="Button 314" hidden="1">
              <a:extLst>
                <a:ext uri="{63B3BB69-23CF-44E3-9099-C40C66FF867C}">
                  <a14:compatExt spid="_x0000_s1338"/>
                </a:ext>
                <a:ext uri="{FF2B5EF4-FFF2-40B4-BE49-F238E27FC236}">
                  <a16:creationId xmlns:a16="http://schemas.microsoft.com/office/drawing/2014/main" id="{00000000-0008-0000-0000-00003A050000}"/>
                </a:ext>
              </a:extLst>
            </xdr:cNvPr>
            <xdr:cNvSpPr/>
          </xdr:nvSpPr>
          <xdr:spPr bwMode="auto">
            <a:xfrm>
              <a:off x="0" y="0"/>
              <a:ext cx="0" cy="0"/>
            </a:xfrm>
            <a:prstGeom prst="rect">
              <a:avLst/>
            </a:prstGeom>
            <a:noFill/>
            <a:ln w="9525">
              <a:miter lim="800000"/>
              <a:headEnd/>
              <a:tailEnd/>
            </a:ln>
          </xdr:spPr>
          <xdr:txBody>
            <a:bodyPr vertOverflow="clip" wrap="square" lIns="54864" tIns="22860" rIns="54864" bIns="22860"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0</xdr:colOff>
          <xdr:row>5</xdr:row>
          <xdr:rowOff>0</xdr:rowOff>
        </xdr:from>
        <xdr:to>
          <xdr:col>26</xdr:col>
          <xdr:colOff>0</xdr:colOff>
          <xdr:row>6</xdr:row>
          <xdr:rowOff>0</xdr:rowOff>
        </xdr:to>
        <xdr:sp macro="" textlink="">
          <xdr:nvSpPr>
            <xdr:cNvPr id="1339" name="Button 315" hidden="1">
              <a:extLst>
                <a:ext uri="{63B3BB69-23CF-44E3-9099-C40C66FF867C}">
                  <a14:compatExt spid="_x0000_s1339"/>
                </a:ext>
                <a:ext uri="{FF2B5EF4-FFF2-40B4-BE49-F238E27FC236}">
                  <a16:creationId xmlns:a16="http://schemas.microsoft.com/office/drawing/2014/main" id="{00000000-0008-0000-0000-00003B050000}"/>
                </a:ext>
              </a:extLst>
            </xdr:cNvPr>
            <xdr:cNvSpPr/>
          </xdr:nvSpPr>
          <xdr:spPr bwMode="auto">
            <a:xfrm>
              <a:off x="0" y="0"/>
              <a:ext cx="0" cy="0"/>
            </a:xfrm>
            <a:prstGeom prst="rect">
              <a:avLst/>
            </a:prstGeom>
            <a:noFill/>
            <a:ln w="9525">
              <a:miter lim="800000"/>
              <a:headEnd/>
              <a:tailEnd/>
            </a:ln>
          </xdr:spPr>
          <xdr:txBody>
            <a:bodyPr vertOverflow="clip" wrap="square" lIns="54864" tIns="22860" rIns="54864" bIns="22860"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5</xdr:row>
          <xdr:rowOff>0</xdr:rowOff>
        </xdr:from>
        <xdr:to>
          <xdr:col>27</xdr:col>
          <xdr:colOff>0</xdr:colOff>
          <xdr:row>6</xdr:row>
          <xdr:rowOff>0</xdr:rowOff>
        </xdr:to>
        <xdr:sp macro="" textlink="">
          <xdr:nvSpPr>
            <xdr:cNvPr id="1340" name="Button 316" hidden="1">
              <a:extLst>
                <a:ext uri="{63B3BB69-23CF-44E3-9099-C40C66FF867C}">
                  <a14:compatExt spid="_x0000_s1340"/>
                </a:ext>
                <a:ext uri="{FF2B5EF4-FFF2-40B4-BE49-F238E27FC236}">
                  <a16:creationId xmlns:a16="http://schemas.microsoft.com/office/drawing/2014/main" id="{00000000-0008-0000-0000-00003C050000}"/>
                </a:ext>
              </a:extLst>
            </xdr:cNvPr>
            <xdr:cNvSpPr/>
          </xdr:nvSpPr>
          <xdr:spPr bwMode="auto">
            <a:xfrm>
              <a:off x="0" y="0"/>
              <a:ext cx="0" cy="0"/>
            </a:xfrm>
            <a:prstGeom prst="rect">
              <a:avLst/>
            </a:prstGeom>
            <a:noFill/>
            <a:ln w="9525">
              <a:miter lim="800000"/>
              <a:headEnd/>
              <a:tailEnd/>
            </a:ln>
          </xdr:spPr>
          <xdr:txBody>
            <a:bodyPr vertOverflow="clip" wrap="square" lIns="54864" tIns="22860" rIns="54864" bIns="22860"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0</xdr:colOff>
          <xdr:row>5</xdr:row>
          <xdr:rowOff>0</xdr:rowOff>
        </xdr:from>
        <xdr:to>
          <xdr:col>28</xdr:col>
          <xdr:colOff>0</xdr:colOff>
          <xdr:row>6</xdr:row>
          <xdr:rowOff>0</xdr:rowOff>
        </xdr:to>
        <xdr:sp macro="" textlink="">
          <xdr:nvSpPr>
            <xdr:cNvPr id="1341" name="Button 317" hidden="1">
              <a:extLst>
                <a:ext uri="{63B3BB69-23CF-44E3-9099-C40C66FF867C}">
                  <a14:compatExt spid="_x0000_s1341"/>
                </a:ext>
                <a:ext uri="{FF2B5EF4-FFF2-40B4-BE49-F238E27FC236}">
                  <a16:creationId xmlns:a16="http://schemas.microsoft.com/office/drawing/2014/main" id="{00000000-0008-0000-0000-00003D050000}"/>
                </a:ext>
              </a:extLst>
            </xdr:cNvPr>
            <xdr:cNvSpPr/>
          </xdr:nvSpPr>
          <xdr:spPr bwMode="auto">
            <a:xfrm>
              <a:off x="0" y="0"/>
              <a:ext cx="0" cy="0"/>
            </a:xfrm>
            <a:prstGeom prst="rect">
              <a:avLst/>
            </a:prstGeom>
            <a:noFill/>
            <a:ln w="9525">
              <a:miter lim="800000"/>
              <a:headEnd/>
              <a:tailEnd/>
            </a:ln>
          </xdr:spPr>
          <xdr:txBody>
            <a:bodyPr vertOverflow="clip" wrap="square" lIns="54864" tIns="22860" rIns="54864" bIns="22860"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0</xdr:colOff>
          <xdr:row>5</xdr:row>
          <xdr:rowOff>0</xdr:rowOff>
        </xdr:from>
        <xdr:to>
          <xdr:col>29</xdr:col>
          <xdr:colOff>0</xdr:colOff>
          <xdr:row>6</xdr:row>
          <xdr:rowOff>0</xdr:rowOff>
        </xdr:to>
        <xdr:sp macro="" textlink="">
          <xdr:nvSpPr>
            <xdr:cNvPr id="1342" name="Button 318" hidden="1">
              <a:extLst>
                <a:ext uri="{63B3BB69-23CF-44E3-9099-C40C66FF867C}">
                  <a14:compatExt spid="_x0000_s1342"/>
                </a:ext>
                <a:ext uri="{FF2B5EF4-FFF2-40B4-BE49-F238E27FC236}">
                  <a16:creationId xmlns:a16="http://schemas.microsoft.com/office/drawing/2014/main" id="{00000000-0008-0000-0000-00003E050000}"/>
                </a:ext>
              </a:extLst>
            </xdr:cNvPr>
            <xdr:cNvSpPr/>
          </xdr:nvSpPr>
          <xdr:spPr bwMode="auto">
            <a:xfrm>
              <a:off x="0" y="0"/>
              <a:ext cx="0" cy="0"/>
            </a:xfrm>
            <a:prstGeom prst="rect">
              <a:avLst/>
            </a:prstGeom>
            <a:noFill/>
            <a:ln w="9525">
              <a:miter lim="800000"/>
              <a:headEnd/>
              <a:tailEnd/>
            </a:ln>
          </xdr:spPr>
          <xdr:txBody>
            <a:bodyPr vertOverflow="clip" wrap="square" lIns="54864" tIns="22860" rIns="54864" bIns="22860"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0</xdr:colOff>
          <xdr:row>5</xdr:row>
          <xdr:rowOff>0</xdr:rowOff>
        </xdr:from>
        <xdr:to>
          <xdr:col>30</xdr:col>
          <xdr:colOff>0</xdr:colOff>
          <xdr:row>6</xdr:row>
          <xdr:rowOff>0</xdr:rowOff>
        </xdr:to>
        <xdr:sp macro="" textlink="">
          <xdr:nvSpPr>
            <xdr:cNvPr id="1343" name="Button 319" hidden="1">
              <a:extLst>
                <a:ext uri="{63B3BB69-23CF-44E3-9099-C40C66FF867C}">
                  <a14:compatExt spid="_x0000_s1343"/>
                </a:ext>
                <a:ext uri="{FF2B5EF4-FFF2-40B4-BE49-F238E27FC236}">
                  <a16:creationId xmlns:a16="http://schemas.microsoft.com/office/drawing/2014/main" id="{00000000-0008-0000-0000-00003F050000}"/>
                </a:ext>
              </a:extLst>
            </xdr:cNvPr>
            <xdr:cNvSpPr/>
          </xdr:nvSpPr>
          <xdr:spPr bwMode="auto">
            <a:xfrm>
              <a:off x="0" y="0"/>
              <a:ext cx="0" cy="0"/>
            </a:xfrm>
            <a:prstGeom prst="rect">
              <a:avLst/>
            </a:prstGeom>
            <a:noFill/>
            <a:ln w="9525">
              <a:miter lim="800000"/>
              <a:headEnd/>
              <a:tailEnd/>
            </a:ln>
          </xdr:spPr>
          <xdr:txBody>
            <a:bodyPr vertOverflow="clip" wrap="square" lIns="54864" tIns="22860" rIns="54864" bIns="22860"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0</xdr:colOff>
          <xdr:row>5</xdr:row>
          <xdr:rowOff>0</xdr:rowOff>
        </xdr:from>
        <xdr:to>
          <xdr:col>31</xdr:col>
          <xdr:colOff>0</xdr:colOff>
          <xdr:row>6</xdr:row>
          <xdr:rowOff>0</xdr:rowOff>
        </xdr:to>
        <xdr:sp macro="" textlink="">
          <xdr:nvSpPr>
            <xdr:cNvPr id="1344" name="Button 320" hidden="1">
              <a:extLst>
                <a:ext uri="{63B3BB69-23CF-44E3-9099-C40C66FF867C}">
                  <a14:compatExt spid="_x0000_s1344"/>
                </a:ext>
                <a:ext uri="{FF2B5EF4-FFF2-40B4-BE49-F238E27FC236}">
                  <a16:creationId xmlns:a16="http://schemas.microsoft.com/office/drawing/2014/main" id="{00000000-0008-0000-0000-000040050000}"/>
                </a:ext>
              </a:extLst>
            </xdr:cNvPr>
            <xdr:cNvSpPr/>
          </xdr:nvSpPr>
          <xdr:spPr bwMode="auto">
            <a:xfrm>
              <a:off x="0" y="0"/>
              <a:ext cx="0" cy="0"/>
            </a:xfrm>
            <a:prstGeom prst="rect">
              <a:avLst/>
            </a:prstGeom>
            <a:noFill/>
            <a:ln w="9525">
              <a:miter lim="800000"/>
              <a:headEnd/>
              <a:tailEnd/>
            </a:ln>
          </xdr:spPr>
          <xdr:txBody>
            <a:bodyPr vertOverflow="clip" wrap="square" lIns="54864" tIns="22860" rIns="54864" bIns="22860"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0</xdr:colOff>
          <xdr:row>5</xdr:row>
          <xdr:rowOff>0</xdr:rowOff>
        </xdr:from>
        <xdr:to>
          <xdr:col>32</xdr:col>
          <xdr:colOff>0</xdr:colOff>
          <xdr:row>6</xdr:row>
          <xdr:rowOff>0</xdr:rowOff>
        </xdr:to>
        <xdr:sp macro="" textlink="">
          <xdr:nvSpPr>
            <xdr:cNvPr id="1345" name="Button 321" hidden="1">
              <a:extLst>
                <a:ext uri="{63B3BB69-23CF-44E3-9099-C40C66FF867C}">
                  <a14:compatExt spid="_x0000_s1345"/>
                </a:ext>
                <a:ext uri="{FF2B5EF4-FFF2-40B4-BE49-F238E27FC236}">
                  <a16:creationId xmlns:a16="http://schemas.microsoft.com/office/drawing/2014/main" id="{00000000-0008-0000-0000-000041050000}"/>
                </a:ext>
              </a:extLst>
            </xdr:cNvPr>
            <xdr:cNvSpPr/>
          </xdr:nvSpPr>
          <xdr:spPr bwMode="auto">
            <a:xfrm>
              <a:off x="0" y="0"/>
              <a:ext cx="0" cy="0"/>
            </a:xfrm>
            <a:prstGeom prst="rect">
              <a:avLst/>
            </a:prstGeom>
            <a:noFill/>
            <a:ln w="9525">
              <a:miter lim="800000"/>
              <a:headEnd/>
              <a:tailEnd/>
            </a:ln>
          </xdr:spPr>
          <xdr:txBody>
            <a:bodyPr vertOverflow="clip" wrap="square" lIns="54864" tIns="22860" rIns="54864" bIns="22860"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0</xdr:colOff>
          <xdr:row>5</xdr:row>
          <xdr:rowOff>0</xdr:rowOff>
        </xdr:from>
        <xdr:to>
          <xdr:col>33</xdr:col>
          <xdr:colOff>0</xdr:colOff>
          <xdr:row>6</xdr:row>
          <xdr:rowOff>0</xdr:rowOff>
        </xdr:to>
        <xdr:sp macro="" textlink="">
          <xdr:nvSpPr>
            <xdr:cNvPr id="1346" name="Button 322" hidden="1">
              <a:extLst>
                <a:ext uri="{63B3BB69-23CF-44E3-9099-C40C66FF867C}">
                  <a14:compatExt spid="_x0000_s1346"/>
                </a:ext>
                <a:ext uri="{FF2B5EF4-FFF2-40B4-BE49-F238E27FC236}">
                  <a16:creationId xmlns:a16="http://schemas.microsoft.com/office/drawing/2014/main" id="{00000000-0008-0000-0000-000042050000}"/>
                </a:ext>
              </a:extLst>
            </xdr:cNvPr>
            <xdr:cNvSpPr/>
          </xdr:nvSpPr>
          <xdr:spPr bwMode="auto">
            <a:xfrm>
              <a:off x="0" y="0"/>
              <a:ext cx="0" cy="0"/>
            </a:xfrm>
            <a:prstGeom prst="rect">
              <a:avLst/>
            </a:prstGeom>
            <a:noFill/>
            <a:ln w="9525">
              <a:miter lim="800000"/>
              <a:headEnd/>
              <a:tailEnd/>
            </a:ln>
          </xdr:spPr>
          <xdr:txBody>
            <a:bodyPr vertOverflow="clip" wrap="square" lIns="54864" tIns="22860" rIns="54864" bIns="22860"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0</xdr:colOff>
          <xdr:row>5</xdr:row>
          <xdr:rowOff>0</xdr:rowOff>
        </xdr:from>
        <xdr:to>
          <xdr:col>34</xdr:col>
          <xdr:colOff>0</xdr:colOff>
          <xdr:row>6</xdr:row>
          <xdr:rowOff>0</xdr:rowOff>
        </xdr:to>
        <xdr:sp macro="" textlink="">
          <xdr:nvSpPr>
            <xdr:cNvPr id="1347" name="Button 323" hidden="1">
              <a:extLst>
                <a:ext uri="{63B3BB69-23CF-44E3-9099-C40C66FF867C}">
                  <a14:compatExt spid="_x0000_s1347"/>
                </a:ext>
                <a:ext uri="{FF2B5EF4-FFF2-40B4-BE49-F238E27FC236}">
                  <a16:creationId xmlns:a16="http://schemas.microsoft.com/office/drawing/2014/main" id="{00000000-0008-0000-0000-000043050000}"/>
                </a:ext>
              </a:extLst>
            </xdr:cNvPr>
            <xdr:cNvSpPr/>
          </xdr:nvSpPr>
          <xdr:spPr bwMode="auto">
            <a:xfrm>
              <a:off x="0" y="0"/>
              <a:ext cx="0" cy="0"/>
            </a:xfrm>
            <a:prstGeom prst="rect">
              <a:avLst/>
            </a:prstGeom>
            <a:noFill/>
            <a:ln w="9525">
              <a:miter lim="800000"/>
              <a:headEnd/>
              <a:tailEnd/>
            </a:ln>
          </xdr:spPr>
          <xdr:txBody>
            <a:bodyPr vertOverflow="clip" wrap="square" lIns="54864" tIns="22860" rIns="54864" bIns="22860"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0</xdr:colOff>
          <xdr:row>5</xdr:row>
          <xdr:rowOff>0</xdr:rowOff>
        </xdr:from>
        <xdr:to>
          <xdr:col>35</xdr:col>
          <xdr:colOff>0</xdr:colOff>
          <xdr:row>6</xdr:row>
          <xdr:rowOff>0</xdr:rowOff>
        </xdr:to>
        <xdr:sp macro="" textlink="">
          <xdr:nvSpPr>
            <xdr:cNvPr id="1348" name="Button 324" hidden="1">
              <a:extLst>
                <a:ext uri="{63B3BB69-23CF-44E3-9099-C40C66FF867C}">
                  <a14:compatExt spid="_x0000_s1348"/>
                </a:ext>
                <a:ext uri="{FF2B5EF4-FFF2-40B4-BE49-F238E27FC236}">
                  <a16:creationId xmlns:a16="http://schemas.microsoft.com/office/drawing/2014/main" id="{00000000-0008-0000-0000-000044050000}"/>
                </a:ext>
              </a:extLst>
            </xdr:cNvPr>
            <xdr:cNvSpPr/>
          </xdr:nvSpPr>
          <xdr:spPr bwMode="auto">
            <a:xfrm>
              <a:off x="0" y="0"/>
              <a:ext cx="0" cy="0"/>
            </a:xfrm>
            <a:prstGeom prst="rect">
              <a:avLst/>
            </a:prstGeom>
            <a:noFill/>
            <a:ln w="9525">
              <a:miter lim="800000"/>
              <a:headEnd/>
              <a:tailEnd/>
            </a:ln>
          </xdr:spPr>
          <xdr:txBody>
            <a:bodyPr vertOverflow="clip" wrap="square" lIns="54864" tIns="22860" rIns="54864" bIns="22860"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0</xdr:colOff>
          <xdr:row>5</xdr:row>
          <xdr:rowOff>0</xdr:rowOff>
        </xdr:from>
        <xdr:to>
          <xdr:col>36</xdr:col>
          <xdr:colOff>0</xdr:colOff>
          <xdr:row>6</xdr:row>
          <xdr:rowOff>0</xdr:rowOff>
        </xdr:to>
        <xdr:sp macro="" textlink="">
          <xdr:nvSpPr>
            <xdr:cNvPr id="1349" name="Button 325" hidden="1">
              <a:extLst>
                <a:ext uri="{63B3BB69-23CF-44E3-9099-C40C66FF867C}">
                  <a14:compatExt spid="_x0000_s1349"/>
                </a:ext>
                <a:ext uri="{FF2B5EF4-FFF2-40B4-BE49-F238E27FC236}">
                  <a16:creationId xmlns:a16="http://schemas.microsoft.com/office/drawing/2014/main" id="{00000000-0008-0000-0000-000045050000}"/>
                </a:ext>
              </a:extLst>
            </xdr:cNvPr>
            <xdr:cNvSpPr/>
          </xdr:nvSpPr>
          <xdr:spPr bwMode="auto">
            <a:xfrm>
              <a:off x="0" y="0"/>
              <a:ext cx="0" cy="0"/>
            </a:xfrm>
            <a:prstGeom prst="rect">
              <a:avLst/>
            </a:prstGeom>
            <a:noFill/>
            <a:ln w="9525">
              <a:miter lim="800000"/>
              <a:headEnd/>
              <a:tailEnd/>
            </a:ln>
          </xdr:spPr>
          <xdr:txBody>
            <a:bodyPr vertOverflow="clip" wrap="square" lIns="54864" tIns="22860" rIns="54864" bIns="22860"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36</xdr:col>
          <xdr:colOff>0</xdr:colOff>
          <xdr:row>5</xdr:row>
          <xdr:rowOff>0</xdr:rowOff>
        </xdr:from>
        <xdr:to>
          <xdr:col>37</xdr:col>
          <xdr:colOff>0</xdr:colOff>
          <xdr:row>6</xdr:row>
          <xdr:rowOff>0</xdr:rowOff>
        </xdr:to>
        <xdr:sp macro="" textlink="">
          <xdr:nvSpPr>
            <xdr:cNvPr id="1350" name="Button 326" hidden="1">
              <a:extLst>
                <a:ext uri="{63B3BB69-23CF-44E3-9099-C40C66FF867C}">
                  <a14:compatExt spid="_x0000_s1350"/>
                </a:ext>
                <a:ext uri="{FF2B5EF4-FFF2-40B4-BE49-F238E27FC236}">
                  <a16:creationId xmlns:a16="http://schemas.microsoft.com/office/drawing/2014/main" id="{00000000-0008-0000-0000-000046050000}"/>
                </a:ext>
              </a:extLst>
            </xdr:cNvPr>
            <xdr:cNvSpPr/>
          </xdr:nvSpPr>
          <xdr:spPr bwMode="auto">
            <a:xfrm>
              <a:off x="0" y="0"/>
              <a:ext cx="0" cy="0"/>
            </a:xfrm>
            <a:prstGeom prst="rect">
              <a:avLst/>
            </a:prstGeom>
            <a:noFill/>
            <a:ln w="9525">
              <a:miter lim="800000"/>
              <a:headEnd/>
              <a:tailEnd/>
            </a:ln>
          </xdr:spPr>
          <xdr:txBody>
            <a:bodyPr vertOverflow="clip" wrap="square" lIns="54864" tIns="22860" rIns="54864" bIns="22860"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37</xdr:col>
          <xdr:colOff>0</xdr:colOff>
          <xdr:row>5</xdr:row>
          <xdr:rowOff>0</xdr:rowOff>
        </xdr:from>
        <xdr:to>
          <xdr:col>38</xdr:col>
          <xdr:colOff>0</xdr:colOff>
          <xdr:row>6</xdr:row>
          <xdr:rowOff>0</xdr:rowOff>
        </xdr:to>
        <xdr:sp macro="" textlink="">
          <xdr:nvSpPr>
            <xdr:cNvPr id="1351" name="Button 327" hidden="1">
              <a:extLst>
                <a:ext uri="{63B3BB69-23CF-44E3-9099-C40C66FF867C}">
                  <a14:compatExt spid="_x0000_s1351"/>
                </a:ext>
                <a:ext uri="{FF2B5EF4-FFF2-40B4-BE49-F238E27FC236}">
                  <a16:creationId xmlns:a16="http://schemas.microsoft.com/office/drawing/2014/main" id="{00000000-0008-0000-0000-000047050000}"/>
                </a:ext>
              </a:extLst>
            </xdr:cNvPr>
            <xdr:cNvSpPr/>
          </xdr:nvSpPr>
          <xdr:spPr bwMode="auto">
            <a:xfrm>
              <a:off x="0" y="0"/>
              <a:ext cx="0" cy="0"/>
            </a:xfrm>
            <a:prstGeom prst="rect">
              <a:avLst/>
            </a:prstGeom>
            <a:noFill/>
            <a:ln w="9525">
              <a:miter lim="800000"/>
              <a:headEnd/>
              <a:tailEnd/>
            </a:ln>
          </xdr:spPr>
          <xdr:txBody>
            <a:bodyPr vertOverflow="clip" wrap="square" lIns="54864" tIns="22860" rIns="54864" bIns="22860"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38</xdr:col>
          <xdr:colOff>0</xdr:colOff>
          <xdr:row>5</xdr:row>
          <xdr:rowOff>0</xdr:rowOff>
        </xdr:from>
        <xdr:to>
          <xdr:col>39</xdr:col>
          <xdr:colOff>0</xdr:colOff>
          <xdr:row>6</xdr:row>
          <xdr:rowOff>0</xdr:rowOff>
        </xdr:to>
        <xdr:sp macro="" textlink="">
          <xdr:nvSpPr>
            <xdr:cNvPr id="1352" name="Button 328" hidden="1">
              <a:extLst>
                <a:ext uri="{63B3BB69-23CF-44E3-9099-C40C66FF867C}">
                  <a14:compatExt spid="_x0000_s1352"/>
                </a:ext>
                <a:ext uri="{FF2B5EF4-FFF2-40B4-BE49-F238E27FC236}">
                  <a16:creationId xmlns:a16="http://schemas.microsoft.com/office/drawing/2014/main" id="{00000000-0008-0000-0000-000048050000}"/>
                </a:ext>
              </a:extLst>
            </xdr:cNvPr>
            <xdr:cNvSpPr/>
          </xdr:nvSpPr>
          <xdr:spPr bwMode="auto">
            <a:xfrm>
              <a:off x="0" y="0"/>
              <a:ext cx="0" cy="0"/>
            </a:xfrm>
            <a:prstGeom prst="rect">
              <a:avLst/>
            </a:prstGeom>
            <a:noFill/>
            <a:ln w="9525">
              <a:miter lim="800000"/>
              <a:headEnd/>
              <a:tailEnd/>
            </a:ln>
          </xdr:spPr>
          <xdr:txBody>
            <a:bodyPr vertOverflow="clip" wrap="square" lIns="54864" tIns="22860" rIns="54864" bIns="22860"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xdr:row>
          <xdr:rowOff>0</xdr:rowOff>
        </xdr:from>
        <xdr:to>
          <xdr:col>40</xdr:col>
          <xdr:colOff>0</xdr:colOff>
          <xdr:row>6</xdr:row>
          <xdr:rowOff>0</xdr:rowOff>
        </xdr:to>
        <xdr:sp macro="" textlink="">
          <xdr:nvSpPr>
            <xdr:cNvPr id="1353" name="Button 329" hidden="1">
              <a:extLst>
                <a:ext uri="{63B3BB69-23CF-44E3-9099-C40C66FF867C}">
                  <a14:compatExt spid="_x0000_s1353"/>
                </a:ext>
                <a:ext uri="{FF2B5EF4-FFF2-40B4-BE49-F238E27FC236}">
                  <a16:creationId xmlns:a16="http://schemas.microsoft.com/office/drawing/2014/main" id="{00000000-0008-0000-0000-000049050000}"/>
                </a:ext>
              </a:extLst>
            </xdr:cNvPr>
            <xdr:cNvSpPr/>
          </xdr:nvSpPr>
          <xdr:spPr bwMode="auto">
            <a:xfrm>
              <a:off x="0" y="0"/>
              <a:ext cx="0" cy="0"/>
            </a:xfrm>
            <a:prstGeom prst="rect">
              <a:avLst/>
            </a:prstGeom>
            <a:noFill/>
            <a:ln w="9525">
              <a:miter lim="800000"/>
              <a:headEnd/>
              <a:tailEnd/>
            </a:ln>
          </xdr:spPr>
          <xdr:txBody>
            <a:bodyPr vertOverflow="clip" wrap="square" lIns="54864" tIns="22860" rIns="54864" bIns="22860"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2</xdr:col>
          <xdr:colOff>781050</xdr:colOff>
          <xdr:row>3</xdr:row>
          <xdr:rowOff>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Apply Comments!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180975</xdr:colOff>
          <xdr:row>1</xdr:row>
          <xdr:rowOff>171450</xdr:rowOff>
        </xdr:from>
        <xdr:to>
          <xdr:col>1</xdr:col>
          <xdr:colOff>361950</xdr:colOff>
          <xdr:row>3</xdr:row>
          <xdr:rowOff>171450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133350</xdr:colOff>
          <xdr:row>1</xdr:row>
          <xdr:rowOff>171450</xdr:rowOff>
        </xdr:from>
        <xdr:to>
          <xdr:col>3</xdr:col>
          <xdr:colOff>304800</xdr:colOff>
          <xdr:row>3</xdr:row>
          <xdr:rowOff>171450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Cancel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133350</xdr:colOff>
          <xdr:row>1</xdr:row>
          <xdr:rowOff>171450</xdr:rowOff>
        </xdr:from>
        <xdr:to>
          <xdr:col>5</xdr:col>
          <xdr:colOff>304800</xdr:colOff>
          <xdr:row>3</xdr:row>
          <xdr:rowOff>171450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Help!</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0</xdr:rowOff>
        </xdr:from>
        <xdr:to>
          <xdr:col>2</xdr:col>
          <xdr:colOff>0</xdr:colOff>
          <xdr:row>3</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AlternateStartup" Target="SolumAddin.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udit"/>
      <sheetName val="ToDo"/>
      <sheetName val="Help"/>
      <sheetName val="_IntelliSense_"/>
      <sheetName val="SAIStaticData"/>
      <sheetName val="ISDASIMM"/>
      <sheetName val="WorkbookLists"/>
      <sheetName val="UndoBuffer"/>
      <sheetName val="UndoBuffer2"/>
      <sheetName val="Custom Icons"/>
      <sheetName val="EmptySheet"/>
      <sheetName val="Macro1"/>
      <sheetName val="SobolPolynomials"/>
    </sheetNames>
    <definedNames>
      <definedName name="AuditMenu"/>
      <definedName name="SAISortButtonOnAction"/>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7:AN55" totalsRowShown="0" headerRowDxfId="41" dataDxfId="40">
  <sortState xmlns:xlrd2="http://schemas.microsoft.com/office/spreadsheetml/2017/richdata2" ref="A3:AC50">
    <sortCondition descending="1" ref="D2:D50"/>
  </sortState>
  <tableColumns count="40">
    <tableColumn id="1" xr3:uid="{00000000-0010-0000-0000-000001000000}" name="Very short name" dataDxfId="39"/>
    <tableColumn id="2" xr3:uid="{00000000-0010-0000-0000-000002000000}" name="CPTY LONG NAME" dataDxfId="38"/>
    <tableColumn id="3" xr3:uid="{00000000-0010-0000-0000-000003000000}" name="CPTY_PARENT" dataDxfId="37"/>
    <tableColumn id="4" xr3:uid="{00000000-0010-0000-0000-000004000000}" name="METHODOLOGY" dataDxfId="36"/>
    <tableColumn id="5" xr3:uid="{00000000-0010-0000-0000-000005000000}" name="Confidence %" dataDxfId="35" dataCellStyle="Percent"/>
    <tableColumn id="6" xr3:uid="{00000000-0010-0000-0000-000006000000}" name="Shortfall or Quantile" dataDxfId="34" dataCellStyle="Percent"/>
    <tableColumn id="7" xr3:uid="{00000000-0010-0000-0000-000007000000}" name="Volatility Input" dataDxfId="33"/>
    <tableColumn id="8" xr3:uid="{00000000-0010-0000-0000-000008000000}" name="Base Currency" dataDxfId="32"/>
    <tableColumn id="9" xr3:uid="{00000000-0010-0000-0000-000009000000}" name="Notional Cap" dataDxfId="31"/>
    <tableColumn id="10" xr3:uid="{00000000-0010-0000-0000-00000A000000}" name="Product Credit Limits" dataDxfId="30"/>
    <tableColumn id="33" xr3:uid="{00000000-0010-0000-0000-000021000000}" name="Fx Notional Weights" dataDxfId="29"/>
    <tableColumn id="12" xr3:uid="{00000000-0010-0000-0000-00000C000000}" name="Rates Notional Weights" dataDxfId="28" dataCellStyle="Percent"/>
    <tableColumn id="19" xr3:uid="{00000000-0010-0000-0000-000013000000}" name="Line Interp." dataDxfId="27"/>
    <tableColumn id="20" xr3:uid="{00000000-0010-0000-0000-000014000000}" name="1Y Limit" dataDxfId="26"/>
    <tableColumn id="21" xr3:uid="{00000000-0010-0000-0000-000015000000}" name="2Y Limit" dataDxfId="25"/>
    <tableColumn id="22" xr3:uid="{00000000-0010-0000-0000-000016000000}" name="3Y Limit" dataDxfId="24"/>
    <tableColumn id="23" xr3:uid="{00000000-0010-0000-0000-000017000000}" name="4Y Limit" dataDxfId="23"/>
    <tableColumn id="24" xr3:uid="{00000000-0010-0000-0000-000018000000}" name="5Y Limit" dataDxfId="22"/>
    <tableColumn id="25" xr3:uid="{00000000-0010-0000-0000-000019000000}" name="7Y Limit" dataDxfId="21"/>
    <tableColumn id="26" xr3:uid="{00000000-0010-0000-0000-00001A000000}" name="10Y Limit" dataDxfId="20"/>
    <tableColumn id="27" xr3:uid="{00000000-0010-0000-0000-00001B000000}" name="Spot Max" dataDxfId="19"/>
    <tableColumn id="28" xr3:uid="{00000000-0010-0000-0000-00001C000000}" name="THR Bank 1Y" dataDxfId="18"/>
    <tableColumn id="29" xr3:uid="{00000000-0010-0000-0000-00001D000000}" name="THR Bank 3Y" dataDxfId="17"/>
    <tableColumn id="30" xr3:uid="{00000000-0010-0000-0000-00001E000000}" name="Airbus THR 3Y" dataDxfId="16"/>
    <tableColumn id="31" xr3:uid="{00000000-0010-0000-0000-00001F000000}" name="Extension Comments" dataDxfId="15"/>
    <tableColumn id="13" xr3:uid="{00000000-0010-0000-0000-00000D000000}" name="Risk Weight Method" dataDxfId="14"/>
    <tableColumn id="42" xr3:uid="{00000000-0010-0000-0000-00002A000000}" name="EaD/CVA Capital Charge Methods" dataDxfId="13"/>
    <tableColumn id="16" xr3:uid="{00000000-0010-0000-0000-000010000000}" name="Exemption" dataDxfId="12"/>
    <tableColumn id="17" xr3:uid="{00000000-0010-0000-0000-000011000000}" name="Capital Hurdle" dataDxfId="11" dataCellStyle="Percent"/>
    <tableColumn id="18" xr3:uid="{00000000-0010-0000-0000-000012000000}" name="Capital Discount" dataDxfId="10" dataCellStyle="Percent"/>
    <tableColumn id="32" xr3:uid="{00000000-0010-0000-0000-000020000000}" name="Spread Vol" dataDxfId="9" dataCellStyle="Percent"/>
    <tableColumn id="34" xr3:uid="{00000000-0010-0000-0000-000022000000}" name="Stressed Spread Vol" dataDxfId="8" dataCellStyle="Percent"/>
    <tableColumn id="35" xr3:uid="{00000000-0010-0000-0000-000023000000}" name="Portfolio Size" dataDxfId="7"/>
    <tableColumn id="36" xr3:uid="{00000000-0010-0000-0000-000024000000}" name="Index Correlation" dataDxfId="6" dataCellStyle="Percent"/>
    <tableColumn id="37" xr3:uid="{00000000-0010-0000-0000-000025000000}" name="PD" dataDxfId="5" dataCellStyle="Percent"/>
    <tableColumn id="38" xr3:uid="{00000000-0010-0000-0000-000026000000}" name="Recovery" dataDxfId="4" dataCellStyle="Percent"/>
    <tableColumn id="39" xr3:uid="{00000000-0010-0000-0000-000027000000}" name="Alpha" dataDxfId="3"/>
    <tableColumn id="40" xr3:uid="{00000000-0010-0000-0000-000028000000}" name="Hedge Offset" dataDxfId="2" dataCellStyle="Percent"/>
    <tableColumn id="11" xr3:uid="{00000000-0010-0000-0000-00000B000000}" name="DVA benefit %" dataDxfId="1" dataCellStyle="Percent"/>
    <tableColumn id="41" xr3:uid="{00000000-0010-0000-0000-000029000000}" name="FVA charge %" dataDxfId="0"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table" Target="../tables/table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8" Type="http://schemas.openxmlformats.org/officeDocument/2006/relationships/ctrlProp" Target="../ctrlProps/ctrlProp5.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omments" Target="../comments1.xml"/><Relationship Id="rId20" Type="http://schemas.openxmlformats.org/officeDocument/2006/relationships/ctrlProp" Target="../ctrlProps/ctrlProp17.xml"/><Relationship Id="rId41" Type="http://schemas.openxmlformats.org/officeDocument/2006/relationships/ctrlProp" Target="../ctrlProps/ctrlProp38.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4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3.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trlProp" Target="../ctrlProps/ctrlProp4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Summary">
    <pageSetUpPr fitToPage="1"/>
  </sheetPr>
  <dimension ref="A1:AN55"/>
  <sheetViews>
    <sheetView showGridLines="0" showRowColHeaders="0" tabSelected="1" zoomScaleNormal="100" workbookViewId="0">
      <pane xSplit="1" ySplit="7" topLeftCell="B8" activePane="bottomRight" state="frozen"/>
      <selection pane="topRight" activeCell="B1" sqref="B1"/>
      <selection pane="bottomLeft" activeCell="A4" sqref="A4"/>
      <selection pane="bottomRight"/>
    </sheetView>
  </sheetViews>
  <sheetFormatPr defaultRowHeight="15" x14ac:dyDescent="0.25"/>
  <cols>
    <col min="1" max="1" width="12.7109375" customWidth="1"/>
    <col min="2" max="2" width="26.5703125" customWidth="1"/>
    <col min="3" max="3" width="15.85546875" customWidth="1"/>
    <col min="4" max="4" width="18.140625" customWidth="1"/>
    <col min="5" max="5" width="12.5703125" customWidth="1"/>
    <col min="6" max="6" width="12.140625" bestFit="1" customWidth="1"/>
    <col min="7" max="7" width="17.42578125" bestFit="1" customWidth="1"/>
    <col min="8" max="8" width="10.140625" bestFit="1" customWidth="1"/>
    <col min="9" max="9" width="14.140625" bestFit="1" customWidth="1"/>
    <col min="10" max="10" width="35.7109375" bestFit="1" customWidth="1"/>
    <col min="11" max="11" width="19.28515625" customWidth="1"/>
    <col min="12" max="12" width="22.28515625" customWidth="1"/>
    <col min="13" max="13" width="14.42578125" customWidth="1"/>
    <col min="14" max="18" width="14.140625" bestFit="1" customWidth="1"/>
    <col min="19" max="20" width="13.5703125" bestFit="1" customWidth="1"/>
    <col min="21" max="21" width="11.5703125" customWidth="1"/>
    <col min="22" max="24" width="15.7109375" customWidth="1"/>
    <col min="25" max="25" width="65.5703125" customWidth="1"/>
    <col min="26" max="27" width="12.5703125" customWidth="1"/>
    <col min="28" max="28" width="12.28515625" customWidth="1"/>
    <col min="29" max="29" width="15.85546875" customWidth="1"/>
    <col min="30" max="30" width="12.7109375" customWidth="1"/>
    <col min="31" max="31" width="10.140625" customWidth="1"/>
    <col min="32" max="32" width="11.5703125" customWidth="1"/>
    <col min="33" max="33" width="9" customWidth="1"/>
    <col min="34" max="34" width="12.140625" customWidth="1"/>
    <col min="35" max="35" width="10.85546875" customWidth="1"/>
    <col min="36" max="36" width="12.42578125" customWidth="1"/>
    <col min="37" max="37" width="10.5703125" customWidth="1"/>
    <col min="38" max="38" width="10.7109375" customWidth="1"/>
    <col min="39" max="39" width="7.85546875" customWidth="1"/>
    <col min="40" max="40" width="12.7109375" customWidth="1"/>
  </cols>
  <sheetData>
    <row r="1" spans="1:40" ht="28.5" x14ac:dyDescent="0.45">
      <c r="A1" s="7" t="s">
        <v>300</v>
      </c>
      <c r="L1" s="18"/>
    </row>
    <row r="2" spans="1:40" x14ac:dyDescent="0.25">
      <c r="L2" s="18"/>
    </row>
    <row r="3" spans="1:40" x14ac:dyDescent="0.25">
      <c r="Z3" s="24" t="s">
        <v>214</v>
      </c>
      <c r="AA3" s="24"/>
      <c r="AB3" s="24"/>
      <c r="AC3" s="24"/>
      <c r="AD3" s="24"/>
      <c r="AE3" s="24"/>
      <c r="AF3" s="24"/>
      <c r="AG3" s="24"/>
      <c r="AH3" s="24"/>
      <c r="AI3" s="24"/>
      <c r="AJ3" s="24"/>
      <c r="AK3" s="24"/>
      <c r="AL3" s="24"/>
      <c r="AM3" s="24"/>
      <c r="AN3" s="24"/>
    </row>
    <row r="4" spans="1:40" x14ac:dyDescent="0.25">
      <c r="A4" s="5" t="s">
        <v>189</v>
      </c>
      <c r="K4" s="67" t="s">
        <v>212</v>
      </c>
      <c r="L4" s="67"/>
    </row>
    <row r="5" spans="1:40" x14ac:dyDescent="0.25">
      <c r="A5" s="19"/>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row>
    <row r="7" spans="1:40" ht="60" x14ac:dyDescent="0.25">
      <c r="A7" s="6" t="s">
        <v>115</v>
      </c>
      <c r="B7" s="6" t="s">
        <v>113</v>
      </c>
      <c r="C7" s="1" t="s">
        <v>112</v>
      </c>
      <c r="D7" s="6" t="s">
        <v>114</v>
      </c>
      <c r="E7" s="22" t="s">
        <v>0</v>
      </c>
      <c r="F7" s="22" t="s">
        <v>156</v>
      </c>
      <c r="G7" s="1" t="s">
        <v>1</v>
      </c>
      <c r="H7" s="1" t="s">
        <v>2</v>
      </c>
      <c r="I7" s="1" t="s">
        <v>111</v>
      </c>
      <c r="J7" s="1" t="s">
        <v>3</v>
      </c>
      <c r="K7" s="4" t="s">
        <v>183</v>
      </c>
      <c r="L7" s="23" t="s">
        <v>178</v>
      </c>
      <c r="M7" s="6" t="s">
        <v>159</v>
      </c>
      <c r="N7" s="4" t="s">
        <v>4</v>
      </c>
      <c r="O7" s="4" t="s">
        <v>5</v>
      </c>
      <c r="P7" s="4" t="s">
        <v>6</v>
      </c>
      <c r="Q7" s="4" t="s">
        <v>7</v>
      </c>
      <c r="R7" s="4" t="s">
        <v>8</v>
      </c>
      <c r="S7" s="4" t="s">
        <v>9</v>
      </c>
      <c r="T7" s="4" t="s">
        <v>10</v>
      </c>
      <c r="U7" s="1" t="s">
        <v>11</v>
      </c>
      <c r="V7" s="1" t="s">
        <v>160</v>
      </c>
      <c r="W7" s="1" t="s">
        <v>161</v>
      </c>
      <c r="X7" s="6" t="s">
        <v>162</v>
      </c>
      <c r="Y7" s="4" t="s">
        <v>12</v>
      </c>
      <c r="Z7" s="20" t="s">
        <v>198</v>
      </c>
      <c r="AA7" s="20" t="s">
        <v>223</v>
      </c>
      <c r="AB7" s="21" t="s">
        <v>199</v>
      </c>
      <c r="AC7" s="21" t="s">
        <v>200</v>
      </c>
      <c r="AD7" s="20" t="s">
        <v>201</v>
      </c>
      <c r="AE7" s="21" t="s">
        <v>202</v>
      </c>
      <c r="AF7" s="21" t="s">
        <v>203</v>
      </c>
      <c r="AG7" s="21" t="s">
        <v>204</v>
      </c>
      <c r="AH7" s="21" t="s">
        <v>205</v>
      </c>
      <c r="AI7" s="21" t="s">
        <v>206</v>
      </c>
      <c r="AJ7" s="21" t="s">
        <v>207</v>
      </c>
      <c r="AK7" s="21" t="s">
        <v>208</v>
      </c>
      <c r="AL7" s="21" t="s">
        <v>209</v>
      </c>
      <c r="AM7" s="25" t="s">
        <v>220</v>
      </c>
      <c r="AN7" s="23" t="s">
        <v>218</v>
      </c>
    </row>
    <row r="8" spans="1:40" x14ac:dyDescent="0.25">
      <c r="A8" s="30" t="s">
        <v>283</v>
      </c>
      <c r="B8" s="52" t="s">
        <v>284</v>
      </c>
      <c r="C8" s="30" t="s">
        <v>285</v>
      </c>
      <c r="D8" s="29" t="s">
        <v>15</v>
      </c>
      <c r="E8" s="44">
        <v>0.95</v>
      </c>
      <c r="F8" s="45" t="s">
        <v>157</v>
      </c>
      <c r="G8" s="29" t="s">
        <v>16</v>
      </c>
      <c r="H8" s="29" t="s">
        <v>23</v>
      </c>
      <c r="I8" s="33"/>
      <c r="J8" s="30" t="s">
        <v>27</v>
      </c>
      <c r="K8" s="34"/>
      <c r="L8" s="60"/>
      <c r="M8" s="36" t="s">
        <v>19</v>
      </c>
      <c r="N8" s="33">
        <v>50000000</v>
      </c>
      <c r="O8" s="33">
        <v>50000000</v>
      </c>
      <c r="P8" s="33">
        <v>50000000</v>
      </c>
      <c r="Q8" s="33">
        <v>50000000</v>
      </c>
      <c r="R8" s="33">
        <v>50000000</v>
      </c>
      <c r="S8" s="33"/>
      <c r="T8" s="33"/>
      <c r="U8" s="37"/>
      <c r="V8" s="33">
        <v>300000000</v>
      </c>
      <c r="W8" s="33">
        <v>150000000</v>
      </c>
      <c r="X8" s="33">
        <v>39673057.757539794</v>
      </c>
      <c r="Y8" s="30" t="s">
        <v>105</v>
      </c>
      <c r="Z8" s="38" t="s">
        <v>211</v>
      </c>
      <c r="AA8" s="38" t="s">
        <v>226</v>
      </c>
      <c r="AB8" s="39" t="b">
        <v>1</v>
      </c>
      <c r="AC8" s="40">
        <v>0.03</v>
      </c>
      <c r="AD8" s="40">
        <v>0.1</v>
      </c>
      <c r="AE8" s="40">
        <v>0.4</v>
      </c>
      <c r="AF8" s="40">
        <v>0.75</v>
      </c>
      <c r="AG8" s="39">
        <v>1000</v>
      </c>
      <c r="AH8" s="41">
        <v>0.8</v>
      </c>
      <c r="AI8" s="42">
        <v>1E-3</v>
      </c>
      <c r="AJ8" s="41">
        <v>0.4</v>
      </c>
      <c r="AK8" s="43">
        <v>1.4</v>
      </c>
      <c r="AL8" s="41">
        <v>0.2</v>
      </c>
      <c r="AM8" s="41">
        <v>0.5</v>
      </c>
      <c r="AN8" s="41">
        <v>1</v>
      </c>
    </row>
    <row r="9" spans="1:40" x14ac:dyDescent="0.25">
      <c r="A9" s="30" t="s">
        <v>126</v>
      </c>
      <c r="B9" s="30" t="s">
        <v>41</v>
      </c>
      <c r="C9" s="30" t="s">
        <v>42</v>
      </c>
      <c r="D9" s="29" t="s">
        <v>15</v>
      </c>
      <c r="E9" s="44">
        <v>0.95</v>
      </c>
      <c r="F9" s="45" t="s">
        <v>157</v>
      </c>
      <c r="G9" s="29" t="s">
        <v>16</v>
      </c>
      <c r="H9" s="29" t="s">
        <v>23</v>
      </c>
      <c r="I9" s="33"/>
      <c r="J9" s="30" t="s">
        <v>18</v>
      </c>
      <c r="K9" s="34"/>
      <c r="L9" s="35"/>
      <c r="M9" s="36" t="s">
        <v>19</v>
      </c>
      <c r="N9" s="33">
        <v>1000000000</v>
      </c>
      <c r="O9" s="33">
        <v>1000000000</v>
      </c>
      <c r="P9" s="33">
        <v>1000000000</v>
      </c>
      <c r="Q9" s="33">
        <v>1000000000</v>
      </c>
      <c r="R9" s="33">
        <v>1000000000</v>
      </c>
      <c r="S9" s="33">
        <v>1000000000</v>
      </c>
      <c r="T9" s="33">
        <v>1000000000</v>
      </c>
      <c r="U9" s="37"/>
      <c r="V9" s="33">
        <v>5000000000</v>
      </c>
      <c r="W9" s="33">
        <v>3800000000</v>
      </c>
      <c r="X9" s="33">
        <v>864859211.96917462</v>
      </c>
      <c r="Y9" s="30" t="s">
        <v>20</v>
      </c>
      <c r="Z9" s="46" t="s">
        <v>210</v>
      </c>
      <c r="AA9" s="46" t="s">
        <v>225</v>
      </c>
      <c r="AB9" s="47" t="b">
        <v>1</v>
      </c>
      <c r="AC9" s="48">
        <v>0.03</v>
      </c>
      <c r="AD9" s="48">
        <v>0.1</v>
      </c>
      <c r="AE9" s="48">
        <v>0.4</v>
      </c>
      <c r="AF9" s="48">
        <v>0.75</v>
      </c>
      <c r="AG9" s="47">
        <v>1000</v>
      </c>
      <c r="AH9" s="49">
        <v>0.8</v>
      </c>
      <c r="AI9" s="50">
        <v>1E-3</v>
      </c>
      <c r="AJ9" s="49">
        <v>0.4</v>
      </c>
      <c r="AK9" s="51">
        <v>1.4</v>
      </c>
      <c r="AL9" s="49">
        <v>0.2</v>
      </c>
      <c r="AM9" s="49">
        <v>0.5</v>
      </c>
      <c r="AN9" s="49">
        <v>1</v>
      </c>
    </row>
    <row r="10" spans="1:40" s="5" customFormat="1" x14ac:dyDescent="0.25">
      <c r="A10" s="30" t="s">
        <v>13</v>
      </c>
      <c r="B10" s="30" t="s">
        <v>13</v>
      </c>
      <c r="C10" s="30" t="s">
        <v>14</v>
      </c>
      <c r="D10" s="29" t="s">
        <v>15</v>
      </c>
      <c r="E10" s="44">
        <v>0.97499999999999998</v>
      </c>
      <c r="F10" s="45" t="s">
        <v>157</v>
      </c>
      <c r="G10" s="29" t="s">
        <v>34</v>
      </c>
      <c r="H10" s="29" t="s">
        <v>17</v>
      </c>
      <c r="I10" s="33"/>
      <c r="J10" s="30" t="s">
        <v>18</v>
      </c>
      <c r="K10" s="34"/>
      <c r="L10" s="35"/>
      <c r="M10" s="36" t="s">
        <v>19</v>
      </c>
      <c r="N10" s="33">
        <v>500000000</v>
      </c>
      <c r="O10" s="33">
        <v>500000000</v>
      </c>
      <c r="P10" s="33">
        <v>500000000</v>
      </c>
      <c r="Q10" s="33">
        <v>500000000</v>
      </c>
      <c r="R10" s="33">
        <v>500000000</v>
      </c>
      <c r="S10" s="33">
        <v>100000000</v>
      </c>
      <c r="T10" s="33"/>
      <c r="U10" s="37"/>
      <c r="V10" s="33">
        <v>2000000000</v>
      </c>
      <c r="W10" s="33">
        <v>1500000000</v>
      </c>
      <c r="X10" s="33">
        <v>104063524.5186618</v>
      </c>
      <c r="Y10" s="30" t="s">
        <v>35</v>
      </c>
      <c r="Z10" s="46" t="s">
        <v>210</v>
      </c>
      <c r="AA10" s="46" t="s">
        <v>226</v>
      </c>
      <c r="AB10" s="47" t="b">
        <v>0</v>
      </c>
      <c r="AC10" s="48">
        <v>0.03</v>
      </c>
      <c r="AD10" s="48">
        <v>0.1</v>
      </c>
      <c r="AE10" s="48">
        <v>0.4</v>
      </c>
      <c r="AF10" s="48">
        <v>0.75</v>
      </c>
      <c r="AG10" s="47">
        <v>1000</v>
      </c>
      <c r="AH10" s="49">
        <v>0.8</v>
      </c>
      <c r="AI10" s="50">
        <v>1E-3</v>
      </c>
      <c r="AJ10" s="49">
        <v>0.6</v>
      </c>
      <c r="AK10" s="51">
        <v>1.4</v>
      </c>
      <c r="AL10" s="49">
        <v>0.2</v>
      </c>
      <c r="AM10" s="49">
        <v>0.5</v>
      </c>
      <c r="AN10" s="49">
        <v>1</v>
      </c>
    </row>
    <row r="11" spans="1:40" x14ac:dyDescent="0.25">
      <c r="A11" s="30" t="s">
        <v>119</v>
      </c>
      <c r="B11" s="30" t="s">
        <v>25</v>
      </c>
      <c r="C11" s="30" t="s">
        <v>26</v>
      </c>
      <c r="D11" s="30" t="s">
        <v>15</v>
      </c>
      <c r="E11" s="31">
        <v>0.98</v>
      </c>
      <c r="F11" s="32" t="s">
        <v>157</v>
      </c>
      <c r="G11" s="30" t="s">
        <v>16</v>
      </c>
      <c r="H11" s="30" t="s">
        <v>17</v>
      </c>
      <c r="I11" s="33"/>
      <c r="J11" s="30" t="s">
        <v>27</v>
      </c>
      <c r="K11" s="34"/>
      <c r="L11" s="35"/>
      <c r="M11" s="36" t="s">
        <v>19</v>
      </c>
      <c r="N11" s="33">
        <v>500000000</v>
      </c>
      <c r="O11" s="33">
        <v>500000000</v>
      </c>
      <c r="P11" s="33">
        <v>500000000</v>
      </c>
      <c r="Q11" s="33">
        <v>500000000</v>
      </c>
      <c r="R11" s="33">
        <v>500000000</v>
      </c>
      <c r="S11" s="33">
        <v>265000000</v>
      </c>
      <c r="T11" s="30"/>
      <c r="U11" s="37"/>
      <c r="V11" s="33">
        <v>1300000000</v>
      </c>
      <c r="W11" s="33">
        <v>900000000</v>
      </c>
      <c r="X11" s="33">
        <v>2819408052</v>
      </c>
      <c r="Y11" s="30" t="s">
        <v>105</v>
      </c>
      <c r="Z11" s="46" t="s">
        <v>210</v>
      </c>
      <c r="AA11" s="46" t="s">
        <v>225</v>
      </c>
      <c r="AB11" s="47" t="b">
        <v>1</v>
      </c>
      <c r="AC11" s="48">
        <v>0.03</v>
      </c>
      <c r="AD11" s="48">
        <v>0.1</v>
      </c>
      <c r="AE11" s="48">
        <v>0.4</v>
      </c>
      <c r="AF11" s="48">
        <v>0.75</v>
      </c>
      <c r="AG11" s="47">
        <v>1000</v>
      </c>
      <c r="AH11" s="49">
        <v>0.8</v>
      </c>
      <c r="AI11" s="50">
        <v>1E-3</v>
      </c>
      <c r="AJ11" s="49">
        <v>0.4</v>
      </c>
      <c r="AK11" s="51">
        <v>1.4</v>
      </c>
      <c r="AL11" s="49">
        <v>0.2</v>
      </c>
      <c r="AM11" s="49">
        <v>0.5</v>
      </c>
      <c r="AN11" s="49">
        <v>1</v>
      </c>
    </row>
    <row r="12" spans="1:40" s="2" customFormat="1" x14ac:dyDescent="0.25">
      <c r="A12" s="29" t="s">
        <v>21</v>
      </c>
      <c r="B12" s="29" t="s">
        <v>21</v>
      </c>
      <c r="C12" s="30" t="s">
        <v>22</v>
      </c>
      <c r="D12" s="30" t="s">
        <v>15</v>
      </c>
      <c r="E12" s="31">
        <v>0.95</v>
      </c>
      <c r="F12" s="32" t="s">
        <v>157</v>
      </c>
      <c r="G12" s="30" t="s">
        <v>16</v>
      </c>
      <c r="H12" s="30" t="s">
        <v>23</v>
      </c>
      <c r="I12" s="33"/>
      <c r="J12" s="30" t="s">
        <v>18</v>
      </c>
      <c r="K12" s="34"/>
      <c r="L12" s="35"/>
      <c r="M12" s="36" t="s">
        <v>45</v>
      </c>
      <c r="N12" s="33">
        <v>400000000</v>
      </c>
      <c r="O12" s="33">
        <v>400000000</v>
      </c>
      <c r="P12" s="33">
        <v>400000000</v>
      </c>
      <c r="Q12" s="33">
        <v>300000000</v>
      </c>
      <c r="R12" s="33">
        <v>300000000</v>
      </c>
      <c r="S12" s="33">
        <v>200000000</v>
      </c>
      <c r="T12" s="33">
        <v>120000000</v>
      </c>
      <c r="U12" s="37"/>
      <c r="V12" s="33">
        <v>3500000000</v>
      </c>
      <c r="W12" s="33">
        <v>2000000000</v>
      </c>
      <c r="X12" s="33">
        <v>148594370.51982325</v>
      </c>
      <c r="Y12" s="30" t="s">
        <v>277</v>
      </c>
      <c r="Z12" s="46" t="s">
        <v>210</v>
      </c>
      <c r="AA12" s="46" t="s">
        <v>225</v>
      </c>
      <c r="AB12" s="47" t="b">
        <v>1</v>
      </c>
      <c r="AC12" s="48">
        <v>0.03</v>
      </c>
      <c r="AD12" s="48">
        <v>0.1</v>
      </c>
      <c r="AE12" s="48">
        <v>0.4</v>
      </c>
      <c r="AF12" s="48">
        <v>0.75</v>
      </c>
      <c r="AG12" s="47">
        <v>1000</v>
      </c>
      <c r="AH12" s="49">
        <v>0.8</v>
      </c>
      <c r="AI12" s="50">
        <v>1E-3</v>
      </c>
      <c r="AJ12" s="49">
        <v>0.4</v>
      </c>
      <c r="AK12" s="51">
        <v>1.4</v>
      </c>
      <c r="AL12" s="49">
        <v>0.2</v>
      </c>
      <c r="AM12" s="49">
        <v>0.5</v>
      </c>
      <c r="AN12" s="49">
        <v>1</v>
      </c>
    </row>
    <row r="13" spans="1:40" x14ac:dyDescent="0.25">
      <c r="A13" s="30" t="s">
        <v>49</v>
      </c>
      <c r="B13" s="30" t="s">
        <v>49</v>
      </c>
      <c r="C13" s="30" t="s">
        <v>50</v>
      </c>
      <c r="D13" s="29" t="s">
        <v>38</v>
      </c>
      <c r="E13" s="44"/>
      <c r="F13" s="45"/>
      <c r="G13" s="29"/>
      <c r="H13" s="29" t="s">
        <v>23</v>
      </c>
      <c r="I13" s="33"/>
      <c r="J13" s="30" t="s">
        <v>18</v>
      </c>
      <c r="K13" s="34" t="s">
        <v>279</v>
      </c>
      <c r="L13" s="35" t="s">
        <v>280</v>
      </c>
      <c r="M13" s="36" t="s">
        <v>19</v>
      </c>
      <c r="N13" s="33">
        <v>100000000</v>
      </c>
      <c r="O13" s="33">
        <v>100000000</v>
      </c>
      <c r="P13" s="33">
        <v>50000000</v>
      </c>
      <c r="Q13" s="33">
        <v>50000000</v>
      </c>
      <c r="R13" s="33">
        <v>50000000</v>
      </c>
      <c r="S13" s="33"/>
      <c r="T13" s="33"/>
      <c r="U13" s="37"/>
      <c r="V13" s="33">
        <v>2000000000</v>
      </c>
      <c r="W13" s="33">
        <v>2000000000</v>
      </c>
      <c r="X13" s="33">
        <v>1057119845.1826861</v>
      </c>
      <c r="Y13" s="30"/>
      <c r="Z13" s="46" t="s">
        <v>211</v>
      </c>
      <c r="AA13" s="46" t="s">
        <v>226</v>
      </c>
      <c r="AB13" s="47" t="b">
        <v>1</v>
      </c>
      <c r="AC13" s="48">
        <v>0.03</v>
      </c>
      <c r="AD13" s="48">
        <v>0.1</v>
      </c>
      <c r="AE13" s="48">
        <v>0.4</v>
      </c>
      <c r="AF13" s="48">
        <v>0.75</v>
      </c>
      <c r="AG13" s="47">
        <v>1000</v>
      </c>
      <c r="AH13" s="49">
        <v>0.8</v>
      </c>
      <c r="AI13" s="50">
        <v>1E-3</v>
      </c>
      <c r="AJ13" s="49">
        <v>0.4</v>
      </c>
      <c r="AK13" s="51">
        <v>1.4</v>
      </c>
      <c r="AL13" s="49">
        <v>0.2</v>
      </c>
      <c r="AM13" s="49">
        <v>0.5</v>
      </c>
      <c r="AN13" s="49">
        <v>1</v>
      </c>
    </row>
    <row r="14" spans="1:40" x14ac:dyDescent="0.25">
      <c r="A14" s="30" t="s">
        <v>117</v>
      </c>
      <c r="B14" s="52" t="s">
        <v>36</v>
      </c>
      <c r="C14" s="30" t="s">
        <v>37</v>
      </c>
      <c r="D14" s="29" t="s">
        <v>38</v>
      </c>
      <c r="E14" s="44"/>
      <c r="F14" s="45"/>
      <c r="G14" s="29"/>
      <c r="H14" s="29" t="s">
        <v>17</v>
      </c>
      <c r="I14" s="33"/>
      <c r="J14" s="30" t="s">
        <v>24</v>
      </c>
      <c r="K14" s="34" t="s">
        <v>286</v>
      </c>
      <c r="L14" s="35" t="s">
        <v>180</v>
      </c>
      <c r="M14" s="36" t="s">
        <v>19</v>
      </c>
      <c r="N14" s="33">
        <v>300000000</v>
      </c>
      <c r="O14" s="33">
        <v>300000000</v>
      </c>
      <c r="P14" s="33">
        <v>300000000</v>
      </c>
      <c r="Q14" s="33">
        <v>300000000</v>
      </c>
      <c r="R14" s="33">
        <v>300000000</v>
      </c>
      <c r="S14" s="33">
        <v>300000000</v>
      </c>
      <c r="T14" s="33"/>
      <c r="U14" s="37"/>
      <c r="V14" s="33"/>
      <c r="W14" s="33">
        <v>3500000000</v>
      </c>
      <c r="X14" s="33">
        <v>1710603232.5285304</v>
      </c>
      <c r="Y14" s="30" t="s">
        <v>287</v>
      </c>
      <c r="Z14" s="46" t="s">
        <v>211</v>
      </c>
      <c r="AA14" s="46" t="s">
        <v>226</v>
      </c>
      <c r="AB14" s="47" t="b">
        <v>0</v>
      </c>
      <c r="AC14" s="48">
        <v>0.03</v>
      </c>
      <c r="AD14" s="48">
        <v>0.1</v>
      </c>
      <c r="AE14" s="48">
        <v>0.4</v>
      </c>
      <c r="AF14" s="48">
        <v>0.75</v>
      </c>
      <c r="AG14" s="47">
        <v>1000</v>
      </c>
      <c r="AH14" s="49">
        <v>0.8</v>
      </c>
      <c r="AI14" s="50">
        <v>1E-3</v>
      </c>
      <c r="AJ14" s="49">
        <v>0.5</v>
      </c>
      <c r="AK14" s="51">
        <v>1.4</v>
      </c>
      <c r="AL14" s="49">
        <v>0.2</v>
      </c>
      <c r="AM14" s="49">
        <v>0.5</v>
      </c>
      <c r="AN14" s="49">
        <v>1</v>
      </c>
    </row>
    <row r="15" spans="1:40" x14ac:dyDescent="0.25">
      <c r="A15" s="30" t="s">
        <v>121</v>
      </c>
      <c r="B15" s="30" t="s">
        <v>121</v>
      </c>
      <c r="C15" s="30" t="s">
        <v>30</v>
      </c>
      <c r="D15" s="29" t="s">
        <v>15</v>
      </c>
      <c r="E15" s="44">
        <v>0.9</v>
      </c>
      <c r="F15" s="45" t="s">
        <v>157</v>
      </c>
      <c r="G15" s="29" t="s">
        <v>16</v>
      </c>
      <c r="H15" s="29" t="s">
        <v>23</v>
      </c>
      <c r="I15" s="33"/>
      <c r="J15" s="30" t="s">
        <v>24</v>
      </c>
      <c r="K15" s="34"/>
      <c r="L15" s="35"/>
      <c r="M15" s="36" t="s">
        <v>19</v>
      </c>
      <c r="N15" s="33">
        <v>1000000000</v>
      </c>
      <c r="O15" s="33">
        <v>1000000000</v>
      </c>
      <c r="P15" s="33">
        <v>1100000000</v>
      </c>
      <c r="Q15" s="33">
        <v>1000000000</v>
      </c>
      <c r="R15" s="33">
        <v>700000000</v>
      </c>
      <c r="S15" s="33">
        <v>450000000</v>
      </c>
      <c r="T15" s="33">
        <v>50000000</v>
      </c>
      <c r="U15" s="37"/>
      <c r="V15" s="33">
        <v>11000000000</v>
      </c>
      <c r="W15" s="33">
        <v>5000000000</v>
      </c>
      <c r="X15" s="33">
        <v>921501926.73305619</v>
      </c>
      <c r="Y15" s="30" t="s">
        <v>31</v>
      </c>
      <c r="Z15" s="46" t="s">
        <v>210</v>
      </c>
      <c r="AA15" s="46" t="s">
        <v>225</v>
      </c>
      <c r="AB15" s="47" t="b">
        <v>1</v>
      </c>
      <c r="AC15" s="48">
        <v>0.03</v>
      </c>
      <c r="AD15" s="48">
        <v>0.1</v>
      </c>
      <c r="AE15" s="48">
        <v>0.4</v>
      </c>
      <c r="AF15" s="48">
        <v>0.75</v>
      </c>
      <c r="AG15" s="47">
        <v>1000</v>
      </c>
      <c r="AH15" s="49">
        <v>0.8</v>
      </c>
      <c r="AI15" s="50">
        <v>1E-3</v>
      </c>
      <c r="AJ15" s="49">
        <v>0.4</v>
      </c>
      <c r="AK15" s="51">
        <v>1.4</v>
      </c>
      <c r="AL15" s="49">
        <v>0.2</v>
      </c>
      <c r="AM15" s="49">
        <v>0.5</v>
      </c>
      <c r="AN15" s="49">
        <v>1</v>
      </c>
    </row>
    <row r="16" spans="1:40" s="2" customFormat="1" x14ac:dyDescent="0.25">
      <c r="A16" s="30" t="s">
        <v>116</v>
      </c>
      <c r="B16" s="30" t="s">
        <v>32</v>
      </c>
      <c r="C16" s="30" t="s">
        <v>33</v>
      </c>
      <c r="D16" s="29" t="s">
        <v>15</v>
      </c>
      <c r="E16" s="44">
        <v>0.95</v>
      </c>
      <c r="F16" s="45" t="s">
        <v>157</v>
      </c>
      <c r="G16" s="29" t="s">
        <v>34</v>
      </c>
      <c r="H16" s="29" t="s">
        <v>17</v>
      </c>
      <c r="I16" s="33"/>
      <c r="J16" s="30" t="s">
        <v>18</v>
      </c>
      <c r="K16" s="34"/>
      <c r="L16" s="35"/>
      <c r="M16" s="36" t="s">
        <v>19</v>
      </c>
      <c r="N16" s="33">
        <v>350000000</v>
      </c>
      <c r="O16" s="33">
        <v>200000000</v>
      </c>
      <c r="P16" s="33">
        <v>200000000</v>
      </c>
      <c r="Q16" s="33">
        <v>200000000</v>
      </c>
      <c r="R16" s="33">
        <v>200000000</v>
      </c>
      <c r="S16" s="33">
        <v>85000000</v>
      </c>
      <c r="T16" s="33"/>
      <c r="U16" s="37"/>
      <c r="V16" s="33">
        <v>425000000</v>
      </c>
      <c r="W16" s="33">
        <v>415000000</v>
      </c>
      <c r="X16" s="33">
        <v>2019467523.3092508</v>
      </c>
      <c r="Y16" s="30"/>
      <c r="Z16" s="46" t="s">
        <v>210</v>
      </c>
      <c r="AA16" s="46" t="s">
        <v>225</v>
      </c>
      <c r="AB16" s="47" t="b">
        <v>0</v>
      </c>
      <c r="AC16" s="48">
        <v>0.03</v>
      </c>
      <c r="AD16" s="48">
        <v>0.1</v>
      </c>
      <c r="AE16" s="48">
        <v>0.4</v>
      </c>
      <c r="AF16" s="48">
        <v>0.75</v>
      </c>
      <c r="AG16" s="47">
        <v>1000</v>
      </c>
      <c r="AH16" s="49">
        <v>0.8</v>
      </c>
      <c r="AI16" s="50">
        <v>1E-3</v>
      </c>
      <c r="AJ16" s="49">
        <v>0.4</v>
      </c>
      <c r="AK16" s="51">
        <v>1.4</v>
      </c>
      <c r="AL16" s="49">
        <v>0.2</v>
      </c>
      <c r="AM16" s="49">
        <v>0.5</v>
      </c>
      <c r="AN16" s="49">
        <v>1</v>
      </c>
    </row>
    <row r="17" spans="1:40" s="2" customFormat="1" x14ac:dyDescent="0.25">
      <c r="A17" s="30" t="s">
        <v>118</v>
      </c>
      <c r="B17" s="52" t="s">
        <v>39</v>
      </c>
      <c r="C17" s="30" t="s">
        <v>40</v>
      </c>
      <c r="D17" s="29" t="s">
        <v>38</v>
      </c>
      <c r="E17" s="44"/>
      <c r="F17" s="45"/>
      <c r="G17" s="29"/>
      <c r="H17" s="29" t="s">
        <v>17</v>
      </c>
      <c r="I17" s="33"/>
      <c r="J17" s="30" t="s">
        <v>24</v>
      </c>
      <c r="K17" s="34" t="s">
        <v>281</v>
      </c>
      <c r="L17" s="35" t="s">
        <v>180</v>
      </c>
      <c r="M17" s="36" t="s">
        <v>19</v>
      </c>
      <c r="N17" s="33">
        <v>500000000</v>
      </c>
      <c r="O17" s="33">
        <v>500000000</v>
      </c>
      <c r="P17" s="33">
        <v>500000000</v>
      </c>
      <c r="Q17" s="33">
        <v>500000000</v>
      </c>
      <c r="R17" s="33">
        <v>285000000</v>
      </c>
      <c r="S17" s="33">
        <v>360000000</v>
      </c>
      <c r="T17" s="33">
        <v>85000000</v>
      </c>
      <c r="U17" s="37"/>
      <c r="V17" s="33">
        <v>3000000000</v>
      </c>
      <c r="W17" s="33">
        <v>2300000000</v>
      </c>
      <c r="X17" s="33">
        <v>1593011424.9779339</v>
      </c>
      <c r="Y17" s="30" t="s">
        <v>35</v>
      </c>
      <c r="Z17" s="46" t="s">
        <v>211</v>
      </c>
      <c r="AA17" s="46" t="s">
        <v>226</v>
      </c>
      <c r="AB17" s="47" t="b">
        <v>0</v>
      </c>
      <c r="AC17" s="48">
        <v>0.03</v>
      </c>
      <c r="AD17" s="48">
        <v>0.1</v>
      </c>
      <c r="AE17" s="48">
        <v>0.4</v>
      </c>
      <c r="AF17" s="48">
        <v>0.75</v>
      </c>
      <c r="AG17" s="47">
        <v>1000</v>
      </c>
      <c r="AH17" s="49">
        <v>0.8</v>
      </c>
      <c r="AI17" s="50">
        <v>1E-3</v>
      </c>
      <c r="AJ17" s="49">
        <v>0.4</v>
      </c>
      <c r="AK17" s="51">
        <v>1.4</v>
      </c>
      <c r="AL17" s="49">
        <v>0.2</v>
      </c>
      <c r="AM17" s="49">
        <v>0.5</v>
      </c>
      <c r="AN17" s="49">
        <v>1</v>
      </c>
    </row>
    <row r="18" spans="1:40" s="2" customFormat="1" x14ac:dyDescent="0.25">
      <c r="A18" s="30" t="s">
        <v>142</v>
      </c>
      <c r="B18" s="30" t="s">
        <v>173</v>
      </c>
      <c r="C18" s="30" t="s">
        <v>76</v>
      </c>
      <c r="D18" s="30" t="s">
        <v>15</v>
      </c>
      <c r="E18" s="31">
        <v>0.97499999999999998</v>
      </c>
      <c r="F18" s="32" t="s">
        <v>157</v>
      </c>
      <c r="G18" s="30" t="s">
        <v>16</v>
      </c>
      <c r="H18" s="30" t="s">
        <v>23</v>
      </c>
      <c r="I18" s="33"/>
      <c r="J18" s="30" t="s">
        <v>18</v>
      </c>
      <c r="K18" s="34"/>
      <c r="L18" s="35"/>
      <c r="M18" s="36" t="s">
        <v>19</v>
      </c>
      <c r="N18" s="33">
        <v>800000000</v>
      </c>
      <c r="O18" s="33">
        <v>800000000</v>
      </c>
      <c r="P18" s="33">
        <v>750000000</v>
      </c>
      <c r="Q18" s="33">
        <v>750000000</v>
      </c>
      <c r="R18" s="33">
        <v>675000000</v>
      </c>
      <c r="S18" s="33">
        <v>540000000</v>
      </c>
      <c r="T18" s="33">
        <v>100000000</v>
      </c>
      <c r="U18" s="37"/>
      <c r="V18" s="33">
        <v>2500000000</v>
      </c>
      <c r="W18" s="33">
        <v>2000000000</v>
      </c>
      <c r="X18" s="33">
        <v>148221424.80721408</v>
      </c>
      <c r="Y18" s="30"/>
      <c r="Z18" s="46" t="s">
        <v>210</v>
      </c>
      <c r="AA18" s="46" t="s">
        <v>225</v>
      </c>
      <c r="AB18" s="47" t="b">
        <v>1</v>
      </c>
      <c r="AC18" s="48">
        <v>0.03</v>
      </c>
      <c r="AD18" s="48">
        <v>0.1</v>
      </c>
      <c r="AE18" s="48">
        <v>0.4</v>
      </c>
      <c r="AF18" s="48">
        <v>0.75</v>
      </c>
      <c r="AG18" s="47">
        <v>1000</v>
      </c>
      <c r="AH18" s="49">
        <v>0.8</v>
      </c>
      <c r="AI18" s="50">
        <v>1E-3</v>
      </c>
      <c r="AJ18" s="49">
        <v>0.4</v>
      </c>
      <c r="AK18" s="51">
        <v>1.4</v>
      </c>
      <c r="AL18" s="49">
        <v>0.2</v>
      </c>
      <c r="AM18" s="49">
        <v>0.5</v>
      </c>
      <c r="AN18" s="49">
        <v>1</v>
      </c>
    </row>
    <row r="19" spans="1:40" s="3" customFormat="1" x14ac:dyDescent="0.25">
      <c r="A19" s="30" t="s">
        <v>146</v>
      </c>
      <c r="B19" s="30" t="s">
        <v>175</v>
      </c>
      <c r="C19" s="30" t="s">
        <v>84</v>
      </c>
      <c r="D19" s="30" t="s">
        <v>15</v>
      </c>
      <c r="E19" s="44">
        <v>0.95</v>
      </c>
      <c r="F19" s="45" t="s">
        <v>157</v>
      </c>
      <c r="G19" s="30" t="s">
        <v>34</v>
      </c>
      <c r="H19" s="30" t="s">
        <v>23</v>
      </c>
      <c r="I19" s="33"/>
      <c r="J19" s="30" t="s">
        <v>24</v>
      </c>
      <c r="K19" s="34"/>
      <c r="L19" s="35"/>
      <c r="M19" s="36" t="s">
        <v>45</v>
      </c>
      <c r="N19" s="33">
        <v>600000000</v>
      </c>
      <c r="O19" s="33">
        <v>600000000</v>
      </c>
      <c r="P19" s="33">
        <v>500000000</v>
      </c>
      <c r="Q19" s="33">
        <v>500000000</v>
      </c>
      <c r="R19" s="33">
        <v>500000000</v>
      </c>
      <c r="S19" s="33">
        <v>500000000</v>
      </c>
      <c r="T19" s="33">
        <v>500000000</v>
      </c>
      <c r="U19" s="37"/>
      <c r="V19" s="33">
        <v>3600000000</v>
      </c>
      <c r="W19" s="33">
        <v>2000000000</v>
      </c>
      <c r="X19" s="33">
        <v>1256146546.5001731</v>
      </c>
      <c r="Y19" s="30" t="s">
        <v>276</v>
      </c>
      <c r="Z19" s="53" t="s">
        <v>210</v>
      </c>
      <c r="AA19" s="53" t="s">
        <v>224</v>
      </c>
      <c r="AB19" s="54" t="b">
        <v>1</v>
      </c>
      <c r="AC19" s="55">
        <v>0.03</v>
      </c>
      <c r="AD19" s="55">
        <v>0.1</v>
      </c>
      <c r="AE19" s="55">
        <v>0.4</v>
      </c>
      <c r="AF19" s="55">
        <v>0.75</v>
      </c>
      <c r="AG19" s="54">
        <v>1000</v>
      </c>
      <c r="AH19" s="56">
        <v>0.8</v>
      </c>
      <c r="AI19" s="57">
        <v>1E-3</v>
      </c>
      <c r="AJ19" s="56">
        <v>0.4</v>
      </c>
      <c r="AK19" s="58">
        <v>1.4</v>
      </c>
      <c r="AL19" s="56">
        <v>0.2</v>
      </c>
      <c r="AM19" s="56">
        <v>0.5</v>
      </c>
      <c r="AN19" s="56">
        <v>1</v>
      </c>
    </row>
    <row r="20" spans="1:40" x14ac:dyDescent="0.25">
      <c r="A20" s="30" t="s">
        <v>120</v>
      </c>
      <c r="B20" s="30" t="s">
        <v>28</v>
      </c>
      <c r="C20" s="30" t="s">
        <v>29</v>
      </c>
      <c r="D20" s="29" t="s">
        <v>15</v>
      </c>
      <c r="E20" s="44">
        <v>0.95</v>
      </c>
      <c r="F20" s="45" t="s">
        <v>157</v>
      </c>
      <c r="G20" s="29" t="s">
        <v>16</v>
      </c>
      <c r="H20" s="29" t="s">
        <v>23</v>
      </c>
      <c r="I20" s="33"/>
      <c r="J20" s="30" t="s">
        <v>18</v>
      </c>
      <c r="K20" s="34"/>
      <c r="L20" s="35"/>
      <c r="M20" s="36" t="s">
        <v>19</v>
      </c>
      <c r="N20" s="33">
        <v>370000000</v>
      </c>
      <c r="O20" s="33">
        <v>370000000</v>
      </c>
      <c r="P20" s="33">
        <v>370000000</v>
      </c>
      <c r="Q20" s="33">
        <v>370000000</v>
      </c>
      <c r="R20" s="33">
        <v>370000000</v>
      </c>
      <c r="S20" s="33">
        <v>15000000</v>
      </c>
      <c r="T20" s="33">
        <v>15000000</v>
      </c>
      <c r="U20" s="37"/>
      <c r="V20" s="33">
        <v>1800000000</v>
      </c>
      <c r="W20" s="33">
        <v>1500000000</v>
      </c>
      <c r="X20" s="33">
        <v>2674281244.0439844</v>
      </c>
      <c r="Y20" s="30" t="s">
        <v>105</v>
      </c>
      <c r="Z20" s="53" t="s">
        <v>211</v>
      </c>
      <c r="AA20" s="53" t="s">
        <v>226</v>
      </c>
      <c r="AB20" s="54" t="b">
        <v>1</v>
      </c>
      <c r="AC20" s="55">
        <v>0.03</v>
      </c>
      <c r="AD20" s="55">
        <v>0.1</v>
      </c>
      <c r="AE20" s="55">
        <v>0.4</v>
      </c>
      <c r="AF20" s="55">
        <v>0.75</v>
      </c>
      <c r="AG20" s="54">
        <v>1000</v>
      </c>
      <c r="AH20" s="56">
        <v>0.8</v>
      </c>
      <c r="AI20" s="57">
        <v>1E-3</v>
      </c>
      <c r="AJ20" s="56">
        <v>0.5</v>
      </c>
      <c r="AK20" s="58">
        <v>1.4</v>
      </c>
      <c r="AL20" s="56">
        <v>0.2</v>
      </c>
      <c r="AM20" s="56">
        <v>0.5</v>
      </c>
      <c r="AN20" s="56">
        <v>1</v>
      </c>
    </row>
    <row r="21" spans="1:40" s="2" customFormat="1" x14ac:dyDescent="0.25">
      <c r="A21" s="30" t="s">
        <v>134</v>
      </c>
      <c r="B21" s="30" t="s">
        <v>65</v>
      </c>
      <c r="C21" s="30" t="s">
        <v>66</v>
      </c>
      <c r="D21" s="29" t="s">
        <v>15</v>
      </c>
      <c r="E21" s="44">
        <v>0.95</v>
      </c>
      <c r="F21" s="45" t="s">
        <v>157</v>
      </c>
      <c r="G21" s="29" t="s">
        <v>34</v>
      </c>
      <c r="H21" s="29" t="s">
        <v>17</v>
      </c>
      <c r="I21" s="33"/>
      <c r="J21" s="30" t="s">
        <v>18</v>
      </c>
      <c r="K21" s="34"/>
      <c r="L21" s="35"/>
      <c r="M21" s="36" t="s">
        <v>19</v>
      </c>
      <c r="N21" s="33">
        <v>750000000</v>
      </c>
      <c r="O21" s="33">
        <v>750000000</v>
      </c>
      <c r="P21" s="33">
        <v>750000000</v>
      </c>
      <c r="Q21" s="33">
        <v>750000000</v>
      </c>
      <c r="R21" s="33">
        <v>750000000</v>
      </c>
      <c r="S21" s="33">
        <v>750000000</v>
      </c>
      <c r="T21" s="33">
        <v>750000000</v>
      </c>
      <c r="U21" s="37"/>
      <c r="V21" s="33">
        <v>1000000000</v>
      </c>
      <c r="W21" s="33">
        <v>1000000000</v>
      </c>
      <c r="X21" s="33">
        <v>416930564.5033446</v>
      </c>
      <c r="Y21" s="30" t="s">
        <v>287</v>
      </c>
      <c r="Z21" s="53" t="s">
        <v>210</v>
      </c>
      <c r="AA21" s="53" t="s">
        <v>225</v>
      </c>
      <c r="AB21" s="47" t="b">
        <v>0</v>
      </c>
      <c r="AC21" s="55">
        <v>0.03</v>
      </c>
      <c r="AD21" s="55">
        <v>0.1</v>
      </c>
      <c r="AE21" s="55">
        <v>0.4</v>
      </c>
      <c r="AF21" s="55">
        <v>0.75</v>
      </c>
      <c r="AG21" s="54">
        <v>1000</v>
      </c>
      <c r="AH21" s="56">
        <v>0.8</v>
      </c>
      <c r="AI21" s="57">
        <v>1E-3</v>
      </c>
      <c r="AJ21" s="56">
        <v>0.4</v>
      </c>
      <c r="AK21" s="58">
        <v>1.4</v>
      </c>
      <c r="AL21" s="56">
        <v>0.2</v>
      </c>
      <c r="AM21" s="56">
        <v>0.5</v>
      </c>
      <c r="AN21" s="56">
        <v>1</v>
      </c>
    </row>
    <row r="22" spans="1:40" s="2" customFormat="1" x14ac:dyDescent="0.25">
      <c r="A22" s="30" t="s">
        <v>122</v>
      </c>
      <c r="B22" s="30" t="s">
        <v>122</v>
      </c>
      <c r="C22" s="30" t="s">
        <v>48</v>
      </c>
      <c r="D22" s="29" t="s">
        <v>15</v>
      </c>
      <c r="E22" s="44">
        <v>0.97499999999999998</v>
      </c>
      <c r="F22" s="45" t="s">
        <v>157</v>
      </c>
      <c r="G22" s="29" t="s">
        <v>16</v>
      </c>
      <c r="H22" s="29" t="s">
        <v>17</v>
      </c>
      <c r="I22" s="33"/>
      <c r="J22" s="30" t="s">
        <v>18</v>
      </c>
      <c r="K22" s="34"/>
      <c r="L22" s="35"/>
      <c r="M22" s="36" t="s">
        <v>19</v>
      </c>
      <c r="N22" s="33">
        <v>350000000</v>
      </c>
      <c r="O22" s="33">
        <v>250000000</v>
      </c>
      <c r="P22" s="33">
        <v>250000000</v>
      </c>
      <c r="Q22" s="33">
        <v>250000000</v>
      </c>
      <c r="R22" s="33">
        <v>155000000</v>
      </c>
      <c r="S22" s="33"/>
      <c r="T22" s="33"/>
      <c r="U22" s="37"/>
      <c r="V22" s="33">
        <v>1400000000</v>
      </c>
      <c r="W22" s="33">
        <v>1000000000</v>
      </c>
      <c r="X22" s="33">
        <v>8162629.2502961308</v>
      </c>
      <c r="Y22" s="30" t="s">
        <v>105</v>
      </c>
      <c r="Z22" s="53" t="s">
        <v>210</v>
      </c>
      <c r="AA22" s="53" t="s">
        <v>225</v>
      </c>
      <c r="AB22" s="54" t="b">
        <v>0</v>
      </c>
      <c r="AC22" s="55">
        <v>0.03</v>
      </c>
      <c r="AD22" s="55">
        <v>0.1</v>
      </c>
      <c r="AE22" s="55">
        <v>0.4</v>
      </c>
      <c r="AF22" s="55">
        <v>0.75</v>
      </c>
      <c r="AG22" s="54">
        <v>1000</v>
      </c>
      <c r="AH22" s="56">
        <v>0.8</v>
      </c>
      <c r="AI22" s="57">
        <v>1E-3</v>
      </c>
      <c r="AJ22" s="56">
        <v>0.4</v>
      </c>
      <c r="AK22" s="58">
        <v>1.4</v>
      </c>
      <c r="AL22" s="56">
        <v>0.2</v>
      </c>
      <c r="AM22" s="56">
        <v>0.5</v>
      </c>
      <c r="AN22" s="56">
        <v>1</v>
      </c>
    </row>
    <row r="23" spans="1:40" s="2" customFormat="1" x14ac:dyDescent="0.25">
      <c r="A23" s="30" t="s">
        <v>123</v>
      </c>
      <c r="B23" s="52" t="s">
        <v>46</v>
      </c>
      <c r="C23" s="30" t="s">
        <v>47</v>
      </c>
      <c r="D23" s="29" t="s">
        <v>15</v>
      </c>
      <c r="E23" s="44">
        <v>0.97699999999999998</v>
      </c>
      <c r="F23" s="45" t="s">
        <v>157</v>
      </c>
      <c r="G23" s="29" t="s">
        <v>16</v>
      </c>
      <c r="H23" s="29" t="s">
        <v>17</v>
      </c>
      <c r="I23" s="33"/>
      <c r="J23" s="30" t="s">
        <v>18</v>
      </c>
      <c r="K23" s="34"/>
      <c r="L23" s="35"/>
      <c r="M23" s="36" t="s">
        <v>45</v>
      </c>
      <c r="N23" s="33">
        <v>575000000</v>
      </c>
      <c r="O23" s="33">
        <v>575000000</v>
      </c>
      <c r="P23" s="33">
        <v>625000000</v>
      </c>
      <c r="Q23" s="33">
        <v>625000000</v>
      </c>
      <c r="R23" s="33">
        <v>625000000</v>
      </c>
      <c r="S23" s="33">
        <v>122000000</v>
      </c>
      <c r="T23" s="33">
        <v>62500000</v>
      </c>
      <c r="U23" s="37"/>
      <c r="V23" s="33">
        <v>934000000</v>
      </c>
      <c r="W23" s="33">
        <v>1185000000</v>
      </c>
      <c r="X23" s="33">
        <v>2360472389.4675736</v>
      </c>
      <c r="Y23" s="30" t="s">
        <v>290</v>
      </c>
      <c r="Z23" s="53" t="s">
        <v>210</v>
      </c>
      <c r="AA23" s="53" t="s">
        <v>225</v>
      </c>
      <c r="AB23" s="47" t="b">
        <v>0</v>
      </c>
      <c r="AC23" s="55">
        <v>0.03</v>
      </c>
      <c r="AD23" s="55">
        <v>0.1</v>
      </c>
      <c r="AE23" s="55">
        <v>0.4</v>
      </c>
      <c r="AF23" s="55">
        <v>0.75</v>
      </c>
      <c r="AG23" s="54">
        <v>1000</v>
      </c>
      <c r="AH23" s="56">
        <v>0.8</v>
      </c>
      <c r="AI23" s="57">
        <v>1E-3</v>
      </c>
      <c r="AJ23" s="56">
        <v>0.4</v>
      </c>
      <c r="AK23" s="58">
        <v>1.4</v>
      </c>
      <c r="AL23" s="56">
        <v>0.2</v>
      </c>
      <c r="AM23" s="56">
        <v>0.5</v>
      </c>
      <c r="AN23" s="56">
        <v>1</v>
      </c>
    </row>
    <row r="24" spans="1:40" s="2" customFormat="1" x14ac:dyDescent="0.25">
      <c r="A24" s="30" t="s">
        <v>124</v>
      </c>
      <c r="B24" s="30" t="s">
        <v>171</v>
      </c>
      <c r="C24" s="30" t="s">
        <v>51</v>
      </c>
      <c r="D24" s="29" t="s">
        <v>15</v>
      </c>
      <c r="E24" s="44">
        <v>0.95</v>
      </c>
      <c r="F24" s="45" t="s">
        <v>157</v>
      </c>
      <c r="G24" s="29" t="s">
        <v>16</v>
      </c>
      <c r="H24" s="29" t="s">
        <v>23</v>
      </c>
      <c r="I24" s="33"/>
      <c r="J24" s="30" t="s">
        <v>18</v>
      </c>
      <c r="K24" s="34"/>
      <c r="L24" s="35"/>
      <c r="M24" s="36" t="s">
        <v>19</v>
      </c>
      <c r="N24" s="33">
        <v>200000000</v>
      </c>
      <c r="O24" s="33">
        <v>200000000</v>
      </c>
      <c r="P24" s="33">
        <v>200000000</v>
      </c>
      <c r="Q24" s="33">
        <v>200000000</v>
      </c>
      <c r="R24" s="33">
        <v>200000000</v>
      </c>
      <c r="S24" s="33"/>
      <c r="T24" s="33"/>
      <c r="U24" s="37"/>
      <c r="V24" s="33">
        <v>885000000</v>
      </c>
      <c r="W24" s="33">
        <v>885000000</v>
      </c>
      <c r="X24" s="33">
        <v>1001372017.9359969</v>
      </c>
      <c r="Y24" s="30" t="s">
        <v>20</v>
      </c>
      <c r="Z24" s="53" t="s">
        <v>210</v>
      </c>
      <c r="AA24" s="53" t="s">
        <v>225</v>
      </c>
      <c r="AB24" s="47" t="b">
        <v>1</v>
      </c>
      <c r="AC24" s="55">
        <v>0.03</v>
      </c>
      <c r="AD24" s="55">
        <v>0.1</v>
      </c>
      <c r="AE24" s="55">
        <v>0.4</v>
      </c>
      <c r="AF24" s="55">
        <v>0.75</v>
      </c>
      <c r="AG24" s="54">
        <v>1000</v>
      </c>
      <c r="AH24" s="56">
        <v>0.8</v>
      </c>
      <c r="AI24" s="57">
        <v>1E-3</v>
      </c>
      <c r="AJ24" s="56">
        <v>0.4</v>
      </c>
      <c r="AK24" s="58">
        <v>1.4</v>
      </c>
      <c r="AL24" s="56">
        <v>0.2</v>
      </c>
      <c r="AM24" s="56">
        <v>0.5</v>
      </c>
      <c r="AN24" s="56">
        <v>1</v>
      </c>
    </row>
    <row r="25" spans="1:40" x14ac:dyDescent="0.25">
      <c r="A25" s="30" t="s">
        <v>125</v>
      </c>
      <c r="B25" s="30" t="s">
        <v>43</v>
      </c>
      <c r="C25" s="30" t="s">
        <v>44</v>
      </c>
      <c r="D25" s="30" t="s">
        <v>15</v>
      </c>
      <c r="E25" s="31">
        <v>0.95</v>
      </c>
      <c r="F25" s="32" t="s">
        <v>157</v>
      </c>
      <c r="G25" s="30" t="s">
        <v>16</v>
      </c>
      <c r="H25" s="30" t="s">
        <v>23</v>
      </c>
      <c r="I25" s="33"/>
      <c r="J25" s="30" t="s">
        <v>27</v>
      </c>
      <c r="K25" s="34"/>
      <c r="L25" s="35"/>
      <c r="M25" s="36" t="s">
        <v>45</v>
      </c>
      <c r="N25" s="33">
        <v>150000000</v>
      </c>
      <c r="O25" s="33">
        <v>150000000</v>
      </c>
      <c r="P25" s="33">
        <v>150000000</v>
      </c>
      <c r="Q25" s="33">
        <v>50000000</v>
      </c>
      <c r="R25" s="33">
        <v>50000000</v>
      </c>
      <c r="S25" s="33"/>
      <c r="T25" s="33"/>
      <c r="U25" s="37"/>
      <c r="V25" s="33">
        <v>500000000</v>
      </c>
      <c r="W25" s="33">
        <v>300000000</v>
      </c>
      <c r="X25" s="33">
        <v>99364405.001056939</v>
      </c>
      <c r="Y25" s="30" t="s">
        <v>20</v>
      </c>
      <c r="Z25" s="53" t="s">
        <v>211</v>
      </c>
      <c r="AA25" s="53" t="s">
        <v>226</v>
      </c>
      <c r="AB25" s="54" t="b">
        <v>0</v>
      </c>
      <c r="AC25" s="55">
        <v>0.03</v>
      </c>
      <c r="AD25" s="55">
        <v>0.1</v>
      </c>
      <c r="AE25" s="55">
        <v>0.4</v>
      </c>
      <c r="AF25" s="55">
        <v>0.75</v>
      </c>
      <c r="AG25" s="54">
        <v>1000</v>
      </c>
      <c r="AH25" s="56">
        <v>0.8</v>
      </c>
      <c r="AI25" s="57">
        <v>1E-3</v>
      </c>
      <c r="AJ25" s="56">
        <v>0.6</v>
      </c>
      <c r="AK25" s="58">
        <v>1.4</v>
      </c>
      <c r="AL25" s="56">
        <v>0.2</v>
      </c>
      <c r="AM25" s="56">
        <v>0.5</v>
      </c>
      <c r="AN25" s="56">
        <v>1</v>
      </c>
    </row>
    <row r="26" spans="1:40" x14ac:dyDescent="0.25">
      <c r="A26" s="30" t="s">
        <v>127</v>
      </c>
      <c r="B26" s="30" t="s">
        <v>59</v>
      </c>
      <c r="C26" s="30" t="s">
        <v>60</v>
      </c>
      <c r="D26" s="29" t="s">
        <v>15</v>
      </c>
      <c r="E26" s="44">
        <v>0.97499999999999998</v>
      </c>
      <c r="F26" s="45" t="s">
        <v>157</v>
      </c>
      <c r="G26" s="29" t="s">
        <v>16</v>
      </c>
      <c r="H26" s="29" t="s">
        <v>17</v>
      </c>
      <c r="I26" s="33"/>
      <c r="J26" s="30" t="s">
        <v>27</v>
      </c>
      <c r="K26" s="34"/>
      <c r="L26" s="35"/>
      <c r="M26" s="36" t="s">
        <v>45</v>
      </c>
      <c r="N26" s="33">
        <v>136000000</v>
      </c>
      <c r="O26" s="33">
        <v>136000000</v>
      </c>
      <c r="P26" s="33">
        <v>136000000</v>
      </c>
      <c r="Q26" s="33">
        <v>136000000</v>
      </c>
      <c r="R26" s="33">
        <v>55000000</v>
      </c>
      <c r="S26" s="33">
        <v>55000000</v>
      </c>
      <c r="T26" s="33"/>
      <c r="U26" s="37"/>
      <c r="V26" s="33">
        <v>670000000</v>
      </c>
      <c r="W26" s="33">
        <v>400000000</v>
      </c>
      <c r="X26" s="33">
        <v>2354811125.9613519</v>
      </c>
      <c r="Y26" s="30" t="s">
        <v>20</v>
      </c>
      <c r="Z26" s="53" t="s">
        <v>210</v>
      </c>
      <c r="AA26" s="53" t="s">
        <v>226</v>
      </c>
      <c r="AB26" s="54" t="b">
        <v>0</v>
      </c>
      <c r="AC26" s="55">
        <v>0.03</v>
      </c>
      <c r="AD26" s="55">
        <v>0.1</v>
      </c>
      <c r="AE26" s="55">
        <v>0.4</v>
      </c>
      <c r="AF26" s="55">
        <v>0.75</v>
      </c>
      <c r="AG26" s="54">
        <v>1000</v>
      </c>
      <c r="AH26" s="56">
        <v>0.8</v>
      </c>
      <c r="AI26" s="57">
        <v>1E-3</v>
      </c>
      <c r="AJ26" s="56">
        <v>0.4</v>
      </c>
      <c r="AK26" s="58">
        <v>1.4</v>
      </c>
      <c r="AL26" s="56">
        <v>0.2</v>
      </c>
      <c r="AM26" s="56">
        <v>0.5</v>
      </c>
      <c r="AN26" s="56">
        <v>1</v>
      </c>
    </row>
    <row r="27" spans="1:40" s="2" customFormat="1" x14ac:dyDescent="0.25">
      <c r="A27" s="30" t="s">
        <v>128</v>
      </c>
      <c r="B27" s="30" t="s">
        <v>172</v>
      </c>
      <c r="C27" s="30" t="s">
        <v>58</v>
      </c>
      <c r="D27" s="30" t="s">
        <v>15</v>
      </c>
      <c r="E27" s="31">
        <v>0.95</v>
      </c>
      <c r="F27" s="32" t="s">
        <v>157</v>
      </c>
      <c r="G27" s="30" t="s">
        <v>34</v>
      </c>
      <c r="H27" s="30" t="s">
        <v>23</v>
      </c>
      <c r="I27" s="33"/>
      <c r="J27" s="30" t="s">
        <v>18</v>
      </c>
      <c r="K27" s="34"/>
      <c r="L27" s="35"/>
      <c r="M27" s="36" t="s">
        <v>45</v>
      </c>
      <c r="N27" s="33">
        <v>270000000</v>
      </c>
      <c r="O27" s="33">
        <v>500000000</v>
      </c>
      <c r="P27" s="33">
        <v>500000000</v>
      </c>
      <c r="Q27" s="33">
        <v>500000000</v>
      </c>
      <c r="R27" s="33">
        <v>600000000</v>
      </c>
      <c r="S27" s="33">
        <v>600000000</v>
      </c>
      <c r="T27" s="33">
        <v>350000000</v>
      </c>
      <c r="U27" s="37"/>
      <c r="V27" s="33">
        <v>1000000000</v>
      </c>
      <c r="W27" s="33">
        <v>1000000000</v>
      </c>
      <c r="X27" s="33">
        <v>89447093.479189336</v>
      </c>
      <c r="Y27" s="30" t="s">
        <v>31</v>
      </c>
      <c r="Z27" s="53" t="s">
        <v>210</v>
      </c>
      <c r="AA27" s="53" t="s">
        <v>225</v>
      </c>
      <c r="AB27" s="47" t="b">
        <v>1</v>
      </c>
      <c r="AC27" s="55">
        <v>0.03</v>
      </c>
      <c r="AD27" s="55">
        <v>0.1</v>
      </c>
      <c r="AE27" s="55">
        <v>0.4</v>
      </c>
      <c r="AF27" s="55">
        <v>0.75</v>
      </c>
      <c r="AG27" s="54">
        <v>1000</v>
      </c>
      <c r="AH27" s="56">
        <v>0.8</v>
      </c>
      <c r="AI27" s="57">
        <v>1E-3</v>
      </c>
      <c r="AJ27" s="56">
        <v>0.4</v>
      </c>
      <c r="AK27" s="58">
        <v>1.4</v>
      </c>
      <c r="AL27" s="56">
        <v>0.2</v>
      </c>
      <c r="AM27" s="56">
        <v>0.5</v>
      </c>
      <c r="AN27" s="56">
        <v>1</v>
      </c>
    </row>
    <row r="28" spans="1:40" x14ac:dyDescent="0.25">
      <c r="A28" s="30" t="s">
        <v>147</v>
      </c>
      <c r="B28" s="30" t="s">
        <v>85</v>
      </c>
      <c r="C28" s="30" t="s">
        <v>86</v>
      </c>
      <c r="D28" s="30" t="s">
        <v>15</v>
      </c>
      <c r="E28" s="31">
        <v>0.95</v>
      </c>
      <c r="F28" s="32" t="s">
        <v>157</v>
      </c>
      <c r="G28" s="30" t="s">
        <v>16</v>
      </c>
      <c r="H28" s="30" t="s">
        <v>17</v>
      </c>
      <c r="I28" s="33"/>
      <c r="J28" s="30" t="s">
        <v>18</v>
      </c>
      <c r="K28" s="34"/>
      <c r="L28" s="35"/>
      <c r="M28" s="36" t="s">
        <v>19</v>
      </c>
      <c r="N28" s="33">
        <v>290000000</v>
      </c>
      <c r="O28" s="33">
        <v>290000000</v>
      </c>
      <c r="P28" s="33">
        <v>290000000</v>
      </c>
      <c r="Q28" s="33">
        <v>290000000</v>
      </c>
      <c r="R28" s="33">
        <v>290000000</v>
      </c>
      <c r="S28" s="33">
        <v>0</v>
      </c>
      <c r="T28" s="33"/>
      <c r="U28" s="37"/>
      <c r="V28" s="33">
        <v>900000000</v>
      </c>
      <c r="W28" s="33">
        <v>800000000</v>
      </c>
      <c r="X28" s="33">
        <v>160705213.35616341</v>
      </c>
      <c r="Y28" s="30" t="s">
        <v>31</v>
      </c>
      <c r="Z28" s="53" t="s">
        <v>210</v>
      </c>
      <c r="AA28" s="53" t="s">
        <v>225</v>
      </c>
      <c r="AB28" s="54" t="b">
        <v>1</v>
      </c>
      <c r="AC28" s="55">
        <v>0.03</v>
      </c>
      <c r="AD28" s="55">
        <v>0.1</v>
      </c>
      <c r="AE28" s="55">
        <v>0.4</v>
      </c>
      <c r="AF28" s="55">
        <v>0.75</v>
      </c>
      <c r="AG28" s="54">
        <v>1000</v>
      </c>
      <c r="AH28" s="56">
        <v>0.8</v>
      </c>
      <c r="AI28" s="57">
        <v>1E-3</v>
      </c>
      <c r="AJ28" s="56">
        <v>0.4</v>
      </c>
      <c r="AK28" s="58">
        <v>1.4</v>
      </c>
      <c r="AL28" s="56">
        <v>0.2</v>
      </c>
      <c r="AM28" s="56">
        <v>0.5</v>
      </c>
      <c r="AN28" s="56">
        <v>0.5</v>
      </c>
    </row>
    <row r="29" spans="1:40" x14ac:dyDescent="0.25">
      <c r="A29" s="30" t="s">
        <v>129</v>
      </c>
      <c r="B29" s="30" t="s">
        <v>52</v>
      </c>
      <c r="C29" s="30" t="s">
        <v>53</v>
      </c>
      <c r="D29" s="29" t="s">
        <v>38</v>
      </c>
      <c r="E29" s="44"/>
      <c r="F29" s="45"/>
      <c r="G29" s="29" t="s">
        <v>16</v>
      </c>
      <c r="H29" s="29" t="s">
        <v>23</v>
      </c>
      <c r="I29" s="33"/>
      <c r="J29" s="30" t="s">
        <v>18</v>
      </c>
      <c r="K29" s="34" t="s">
        <v>292</v>
      </c>
      <c r="L29" s="35" t="s">
        <v>180</v>
      </c>
      <c r="M29" s="36" t="s">
        <v>19</v>
      </c>
      <c r="N29" s="33">
        <v>260000000</v>
      </c>
      <c r="O29" s="33">
        <v>260000000</v>
      </c>
      <c r="P29" s="33">
        <v>185000000</v>
      </c>
      <c r="Q29" s="33">
        <v>185000000</v>
      </c>
      <c r="R29" s="33">
        <v>185000000</v>
      </c>
      <c r="S29" s="33">
        <v>60000000</v>
      </c>
      <c r="T29" s="33">
        <v>60000000</v>
      </c>
      <c r="U29" s="37"/>
      <c r="V29" s="33">
        <v>875000000</v>
      </c>
      <c r="W29" s="33">
        <v>380000000</v>
      </c>
      <c r="X29" s="33">
        <v>2222715958.6391211</v>
      </c>
      <c r="Y29" s="30" t="s">
        <v>35</v>
      </c>
      <c r="Z29" s="53" t="s">
        <v>211</v>
      </c>
      <c r="AA29" s="53" t="s">
        <v>226</v>
      </c>
      <c r="AB29" s="54" t="b">
        <v>1</v>
      </c>
      <c r="AC29" s="55">
        <v>0.03</v>
      </c>
      <c r="AD29" s="55">
        <v>0.1</v>
      </c>
      <c r="AE29" s="55">
        <v>0.4</v>
      </c>
      <c r="AF29" s="55">
        <v>0.75</v>
      </c>
      <c r="AG29" s="54">
        <v>1000</v>
      </c>
      <c r="AH29" s="56">
        <v>0.8</v>
      </c>
      <c r="AI29" s="57">
        <v>1E-3</v>
      </c>
      <c r="AJ29" s="56">
        <v>0.4</v>
      </c>
      <c r="AK29" s="58">
        <v>1.4</v>
      </c>
      <c r="AL29" s="56">
        <v>0.2</v>
      </c>
      <c r="AM29" s="56">
        <v>0.5</v>
      </c>
      <c r="AN29" s="56">
        <v>1</v>
      </c>
    </row>
    <row r="30" spans="1:40" s="2" customFormat="1" x14ac:dyDescent="0.25">
      <c r="A30" s="30" t="s">
        <v>130</v>
      </c>
      <c r="B30" s="52" t="s">
        <v>54</v>
      </c>
      <c r="C30" s="30" t="s">
        <v>55</v>
      </c>
      <c r="D30" s="29" t="s">
        <v>15</v>
      </c>
      <c r="E30" s="44">
        <v>0.95</v>
      </c>
      <c r="F30" s="45" t="s">
        <v>157</v>
      </c>
      <c r="G30" s="29" t="s">
        <v>34</v>
      </c>
      <c r="H30" s="29" t="s">
        <v>17</v>
      </c>
      <c r="I30" s="33"/>
      <c r="J30" s="30" t="s">
        <v>18</v>
      </c>
      <c r="K30" s="34"/>
      <c r="L30" s="35"/>
      <c r="M30" s="36" t="s">
        <v>45</v>
      </c>
      <c r="N30" s="33">
        <v>280000000</v>
      </c>
      <c r="O30" s="33">
        <v>280000000</v>
      </c>
      <c r="P30" s="33">
        <v>280000000</v>
      </c>
      <c r="Q30" s="33">
        <v>280000000</v>
      </c>
      <c r="R30" s="33">
        <v>280000000</v>
      </c>
      <c r="S30" s="33">
        <v>200000000</v>
      </c>
      <c r="T30" s="33">
        <v>100000000</v>
      </c>
      <c r="U30" s="37"/>
      <c r="V30" s="33">
        <v>1700000000</v>
      </c>
      <c r="W30" s="33">
        <v>1300000000</v>
      </c>
      <c r="X30" s="33">
        <v>4017847536.2329741</v>
      </c>
      <c r="Y30" s="30" t="s">
        <v>20</v>
      </c>
      <c r="Z30" s="53" t="s">
        <v>210</v>
      </c>
      <c r="AA30" s="53" t="s">
        <v>225</v>
      </c>
      <c r="AB30" s="47" t="b">
        <v>0</v>
      </c>
      <c r="AC30" s="55">
        <v>0.03</v>
      </c>
      <c r="AD30" s="55">
        <v>0.1</v>
      </c>
      <c r="AE30" s="55">
        <v>0.4</v>
      </c>
      <c r="AF30" s="55">
        <v>0.75</v>
      </c>
      <c r="AG30" s="54">
        <v>1000</v>
      </c>
      <c r="AH30" s="56">
        <v>0.8</v>
      </c>
      <c r="AI30" s="57">
        <v>1E-3</v>
      </c>
      <c r="AJ30" s="56">
        <v>0.4</v>
      </c>
      <c r="AK30" s="58">
        <v>1.4</v>
      </c>
      <c r="AL30" s="56">
        <v>0.2</v>
      </c>
      <c r="AM30" s="56">
        <v>0.5</v>
      </c>
      <c r="AN30" s="56">
        <v>1</v>
      </c>
    </row>
    <row r="31" spans="1:40" s="2" customFormat="1" x14ac:dyDescent="0.25">
      <c r="A31" s="30" t="s">
        <v>131</v>
      </c>
      <c r="B31" s="30" t="s">
        <v>61</v>
      </c>
      <c r="C31" s="30" t="s">
        <v>62</v>
      </c>
      <c r="D31" s="29" t="s">
        <v>38</v>
      </c>
      <c r="E31" s="44"/>
      <c r="F31" s="45"/>
      <c r="G31" s="29"/>
      <c r="H31" s="29" t="s">
        <v>23</v>
      </c>
      <c r="I31" s="33"/>
      <c r="J31" s="30" t="s">
        <v>18</v>
      </c>
      <c r="K31" s="34" t="s">
        <v>215</v>
      </c>
      <c r="L31" s="35" t="s">
        <v>180</v>
      </c>
      <c r="M31" s="36" t="s">
        <v>19</v>
      </c>
      <c r="N31" s="33">
        <v>300000000</v>
      </c>
      <c r="O31" s="33">
        <v>300000000</v>
      </c>
      <c r="P31" s="33">
        <v>300000000</v>
      </c>
      <c r="Q31" s="33">
        <v>300000000</v>
      </c>
      <c r="R31" s="33">
        <v>300000000</v>
      </c>
      <c r="S31" s="33"/>
      <c r="T31" s="33"/>
      <c r="U31" s="37"/>
      <c r="V31" s="33"/>
      <c r="W31" s="33">
        <v>450000000</v>
      </c>
      <c r="X31" s="33">
        <v>35513539.870491624</v>
      </c>
      <c r="Y31" s="30" t="s">
        <v>20</v>
      </c>
      <c r="Z31" s="53" t="s">
        <v>211</v>
      </c>
      <c r="AA31" s="53" t="s">
        <v>226</v>
      </c>
      <c r="AB31" s="47" t="b">
        <v>1</v>
      </c>
      <c r="AC31" s="55">
        <v>0.03</v>
      </c>
      <c r="AD31" s="55">
        <v>0.1</v>
      </c>
      <c r="AE31" s="55">
        <v>0.4</v>
      </c>
      <c r="AF31" s="55">
        <v>0.75</v>
      </c>
      <c r="AG31" s="54">
        <v>1000</v>
      </c>
      <c r="AH31" s="56">
        <v>0.8</v>
      </c>
      <c r="AI31" s="57">
        <v>1E-3</v>
      </c>
      <c r="AJ31" s="56">
        <v>0.5</v>
      </c>
      <c r="AK31" s="58">
        <v>1.4</v>
      </c>
      <c r="AL31" s="56">
        <v>0.2</v>
      </c>
      <c r="AM31" s="56">
        <v>0.5</v>
      </c>
      <c r="AN31" s="56">
        <v>1</v>
      </c>
    </row>
    <row r="32" spans="1:40" s="2" customFormat="1" x14ac:dyDescent="0.25">
      <c r="A32" s="29" t="s">
        <v>56</v>
      </c>
      <c r="B32" s="29" t="s">
        <v>56</v>
      </c>
      <c r="C32" s="30" t="s">
        <v>57</v>
      </c>
      <c r="D32" s="30" t="s">
        <v>15</v>
      </c>
      <c r="E32" s="31">
        <v>0.95</v>
      </c>
      <c r="F32" s="32" t="s">
        <v>157</v>
      </c>
      <c r="G32" s="30" t="s">
        <v>34</v>
      </c>
      <c r="H32" s="30" t="s">
        <v>17</v>
      </c>
      <c r="I32" s="33"/>
      <c r="J32" s="30" t="s">
        <v>18</v>
      </c>
      <c r="K32" s="34"/>
      <c r="L32" s="35"/>
      <c r="M32" s="36" t="s">
        <v>19</v>
      </c>
      <c r="N32" s="33">
        <v>918090000</v>
      </c>
      <c r="O32" s="33">
        <v>918090000</v>
      </c>
      <c r="P32" s="33">
        <v>918090000</v>
      </c>
      <c r="Q32" s="33">
        <v>918090000</v>
      </c>
      <c r="R32" s="33">
        <v>918090000</v>
      </c>
      <c r="S32" s="33">
        <v>918090000</v>
      </c>
      <c r="T32" s="33">
        <v>1000000</v>
      </c>
      <c r="U32" s="37"/>
      <c r="V32" s="33">
        <v>9000000000</v>
      </c>
      <c r="W32" s="33">
        <v>4500000000</v>
      </c>
      <c r="X32" s="33">
        <v>1417538025.1538799</v>
      </c>
      <c r="Y32" s="30" t="s">
        <v>31</v>
      </c>
      <c r="Z32" s="53" t="s">
        <v>210</v>
      </c>
      <c r="AA32" s="53" t="s">
        <v>225</v>
      </c>
      <c r="AB32" s="54" t="b">
        <v>1</v>
      </c>
      <c r="AC32" s="55">
        <v>0.03</v>
      </c>
      <c r="AD32" s="55">
        <v>0.1</v>
      </c>
      <c r="AE32" s="55">
        <v>0.4</v>
      </c>
      <c r="AF32" s="55">
        <v>0.75</v>
      </c>
      <c r="AG32" s="54">
        <v>1000</v>
      </c>
      <c r="AH32" s="56">
        <v>0.8</v>
      </c>
      <c r="AI32" s="57">
        <v>1E-3</v>
      </c>
      <c r="AJ32" s="56">
        <v>0.4</v>
      </c>
      <c r="AK32" s="58">
        <v>1.4</v>
      </c>
      <c r="AL32" s="56">
        <v>0.2</v>
      </c>
      <c r="AM32" s="56">
        <v>0.5</v>
      </c>
      <c r="AN32" s="56">
        <v>1</v>
      </c>
    </row>
    <row r="33" spans="1:40" s="2" customFormat="1" x14ac:dyDescent="0.25">
      <c r="A33" s="30" t="s">
        <v>153</v>
      </c>
      <c r="B33" s="30" t="s">
        <v>100</v>
      </c>
      <c r="C33" s="30" t="s">
        <v>101</v>
      </c>
      <c r="D33" s="30" t="s">
        <v>15</v>
      </c>
      <c r="E33" s="31">
        <v>0.95</v>
      </c>
      <c r="F33" s="32" t="s">
        <v>158</v>
      </c>
      <c r="G33" s="30" t="s">
        <v>34</v>
      </c>
      <c r="H33" s="30" t="s">
        <v>23</v>
      </c>
      <c r="I33" s="33"/>
      <c r="J33" s="30" t="s">
        <v>18</v>
      </c>
      <c r="K33" s="34"/>
      <c r="L33" s="35"/>
      <c r="M33" s="36" t="s">
        <v>19</v>
      </c>
      <c r="N33" s="33">
        <v>500000000</v>
      </c>
      <c r="O33" s="33">
        <v>500000000</v>
      </c>
      <c r="P33" s="33">
        <v>500000000</v>
      </c>
      <c r="Q33" s="33">
        <v>600000000</v>
      </c>
      <c r="R33" s="33">
        <v>600000000</v>
      </c>
      <c r="S33" s="33"/>
      <c r="T33" s="33"/>
      <c r="U33" s="37"/>
      <c r="V33" s="33"/>
      <c r="W33" s="33">
        <v>900000000</v>
      </c>
      <c r="X33" s="33">
        <v>82448390.061336398</v>
      </c>
      <c r="Y33" s="30" t="s">
        <v>277</v>
      </c>
      <c r="Z33" s="53" t="s">
        <v>210</v>
      </c>
      <c r="AA33" s="53" t="s">
        <v>225</v>
      </c>
      <c r="AB33" s="54" t="b">
        <v>1</v>
      </c>
      <c r="AC33" s="55">
        <v>0.03</v>
      </c>
      <c r="AD33" s="55">
        <v>0.1</v>
      </c>
      <c r="AE33" s="55">
        <v>0.4</v>
      </c>
      <c r="AF33" s="55">
        <v>0.75</v>
      </c>
      <c r="AG33" s="54">
        <v>1000</v>
      </c>
      <c r="AH33" s="56">
        <v>0.8</v>
      </c>
      <c r="AI33" s="57">
        <v>1E-3</v>
      </c>
      <c r="AJ33" s="56">
        <v>0.4</v>
      </c>
      <c r="AK33" s="58">
        <v>1.4</v>
      </c>
      <c r="AL33" s="56">
        <v>0.2</v>
      </c>
      <c r="AM33" s="56">
        <v>0.5</v>
      </c>
      <c r="AN33" s="56">
        <v>1</v>
      </c>
    </row>
    <row r="34" spans="1:40" s="2" customFormat="1" x14ac:dyDescent="0.25">
      <c r="A34" s="30" t="s">
        <v>132</v>
      </c>
      <c r="B34" s="30" t="s">
        <v>132</v>
      </c>
      <c r="C34" s="30" t="s">
        <v>109</v>
      </c>
      <c r="D34" s="29" t="s">
        <v>38</v>
      </c>
      <c r="E34" s="44"/>
      <c r="F34" s="45"/>
      <c r="G34" s="29"/>
      <c r="H34" s="29" t="s">
        <v>17</v>
      </c>
      <c r="I34" s="33"/>
      <c r="J34" s="30" t="s">
        <v>18</v>
      </c>
      <c r="K34" s="59" t="s">
        <v>282</v>
      </c>
      <c r="L34" s="35" t="s">
        <v>180</v>
      </c>
      <c r="M34" s="36" t="s">
        <v>19</v>
      </c>
      <c r="N34" s="33">
        <v>170000000</v>
      </c>
      <c r="O34" s="33">
        <v>170000000</v>
      </c>
      <c r="P34" s="33">
        <v>170000000</v>
      </c>
      <c r="Q34" s="33">
        <v>170000000</v>
      </c>
      <c r="R34" s="33">
        <v>170000000</v>
      </c>
      <c r="S34" s="33"/>
      <c r="T34" s="33"/>
      <c r="U34" s="37"/>
      <c r="V34" s="33">
        <v>265000000</v>
      </c>
      <c r="W34" s="33">
        <v>155000000</v>
      </c>
      <c r="X34" s="33">
        <v>958208889.2498076</v>
      </c>
      <c r="Y34" s="30" t="s">
        <v>20</v>
      </c>
      <c r="Z34" s="53" t="s">
        <v>210</v>
      </c>
      <c r="AA34" s="53" t="s">
        <v>224</v>
      </c>
      <c r="AB34" s="54" t="b">
        <v>0</v>
      </c>
      <c r="AC34" s="55">
        <v>0.03</v>
      </c>
      <c r="AD34" s="55">
        <v>0.1</v>
      </c>
      <c r="AE34" s="55">
        <v>0.4</v>
      </c>
      <c r="AF34" s="55">
        <v>0.75</v>
      </c>
      <c r="AG34" s="54">
        <v>1000</v>
      </c>
      <c r="AH34" s="56">
        <v>0.8</v>
      </c>
      <c r="AI34" s="57">
        <v>1E-3</v>
      </c>
      <c r="AJ34" s="56">
        <v>0.5</v>
      </c>
      <c r="AK34" s="58">
        <v>1.4</v>
      </c>
      <c r="AL34" s="56">
        <v>0.2</v>
      </c>
      <c r="AM34" s="56">
        <v>0.5</v>
      </c>
      <c r="AN34" s="56">
        <v>1</v>
      </c>
    </row>
    <row r="35" spans="1:40" s="2" customFormat="1" x14ac:dyDescent="0.25">
      <c r="A35" s="30" t="s">
        <v>133</v>
      </c>
      <c r="B35" s="52" t="s">
        <v>63</v>
      </c>
      <c r="C35" s="30" t="s">
        <v>64</v>
      </c>
      <c r="D35" s="62" t="s">
        <v>15</v>
      </c>
      <c r="E35" s="44">
        <v>0.97499999999999998</v>
      </c>
      <c r="F35" s="45" t="s">
        <v>157</v>
      </c>
      <c r="G35" s="29" t="s">
        <v>16</v>
      </c>
      <c r="H35" s="29" t="s">
        <v>23</v>
      </c>
      <c r="I35" s="33"/>
      <c r="J35" s="30" t="s">
        <v>18</v>
      </c>
      <c r="K35" s="34"/>
      <c r="L35" s="35"/>
      <c r="M35" s="36" t="s">
        <v>19</v>
      </c>
      <c r="N35" s="33">
        <v>850000000</v>
      </c>
      <c r="O35" s="33">
        <v>850000000</v>
      </c>
      <c r="P35" s="33">
        <v>450000000</v>
      </c>
      <c r="Q35" s="33">
        <v>450000000</v>
      </c>
      <c r="R35" s="33">
        <v>325000000</v>
      </c>
      <c r="S35" s="33">
        <v>80000000</v>
      </c>
      <c r="T35" s="33">
        <v>60000000</v>
      </c>
      <c r="U35" s="37"/>
      <c r="V35" s="33">
        <v>1700000000</v>
      </c>
      <c r="W35" s="33">
        <v>950000000</v>
      </c>
      <c r="X35" s="33">
        <v>3330641799.6646338</v>
      </c>
      <c r="Y35" s="30" t="s">
        <v>277</v>
      </c>
      <c r="Z35" s="53" t="s">
        <v>210</v>
      </c>
      <c r="AA35" s="53" t="s">
        <v>225</v>
      </c>
      <c r="AB35" s="54" t="b">
        <v>1</v>
      </c>
      <c r="AC35" s="55">
        <v>0.03</v>
      </c>
      <c r="AD35" s="55">
        <v>0.1</v>
      </c>
      <c r="AE35" s="55">
        <v>0.4</v>
      </c>
      <c r="AF35" s="55">
        <v>0.75</v>
      </c>
      <c r="AG35" s="54">
        <v>1000</v>
      </c>
      <c r="AH35" s="56">
        <v>0.8</v>
      </c>
      <c r="AI35" s="57">
        <v>1E-3</v>
      </c>
      <c r="AJ35" s="56">
        <v>0.4</v>
      </c>
      <c r="AK35" s="58">
        <v>1.4</v>
      </c>
      <c r="AL35" s="56">
        <v>0.2</v>
      </c>
      <c r="AM35" s="56">
        <v>0.5</v>
      </c>
      <c r="AN35" s="56">
        <v>1</v>
      </c>
    </row>
    <row r="36" spans="1:40" s="2" customFormat="1" x14ac:dyDescent="0.25">
      <c r="A36" s="30" t="s">
        <v>135</v>
      </c>
      <c r="B36" s="52" t="s">
        <v>135</v>
      </c>
      <c r="C36" s="30" t="s">
        <v>67</v>
      </c>
      <c r="D36" s="29" t="s">
        <v>15</v>
      </c>
      <c r="E36" s="44">
        <v>0.9</v>
      </c>
      <c r="F36" s="45" t="s">
        <v>157</v>
      </c>
      <c r="G36" s="29" t="s">
        <v>16</v>
      </c>
      <c r="H36" s="29" t="s">
        <v>23</v>
      </c>
      <c r="I36" s="33"/>
      <c r="J36" s="30" t="s">
        <v>27</v>
      </c>
      <c r="K36" s="34"/>
      <c r="L36" s="35"/>
      <c r="M36" s="36" t="s">
        <v>19</v>
      </c>
      <c r="N36" s="33">
        <v>230000000</v>
      </c>
      <c r="O36" s="33">
        <v>230000000</v>
      </c>
      <c r="P36" s="33">
        <v>230000000</v>
      </c>
      <c r="Q36" s="33">
        <v>230000000</v>
      </c>
      <c r="R36" s="33">
        <v>230000000</v>
      </c>
      <c r="S36" s="33">
        <v>180000000</v>
      </c>
      <c r="T36" s="33">
        <v>100000000</v>
      </c>
      <c r="U36" s="37"/>
      <c r="V36" s="33">
        <v>2000000000</v>
      </c>
      <c r="W36" s="33">
        <v>1300000000</v>
      </c>
      <c r="X36" s="33">
        <v>350297520.23217791</v>
      </c>
      <c r="Y36" s="30" t="s">
        <v>277</v>
      </c>
      <c r="Z36" s="53" t="s">
        <v>211</v>
      </c>
      <c r="AA36" s="53" t="s">
        <v>226</v>
      </c>
      <c r="AB36" s="54" t="b">
        <v>1</v>
      </c>
      <c r="AC36" s="55">
        <v>0.03</v>
      </c>
      <c r="AD36" s="55">
        <v>0.1</v>
      </c>
      <c r="AE36" s="55">
        <v>0.4</v>
      </c>
      <c r="AF36" s="55">
        <v>0.75</v>
      </c>
      <c r="AG36" s="54">
        <v>1000</v>
      </c>
      <c r="AH36" s="56">
        <v>0.8</v>
      </c>
      <c r="AI36" s="57">
        <v>1E-3</v>
      </c>
      <c r="AJ36" s="56">
        <v>0.4</v>
      </c>
      <c r="AK36" s="58">
        <v>1.4</v>
      </c>
      <c r="AL36" s="56">
        <v>0.2</v>
      </c>
      <c r="AM36" s="56">
        <v>0.5</v>
      </c>
      <c r="AN36" s="56">
        <v>1</v>
      </c>
    </row>
    <row r="37" spans="1:40" s="2" customFormat="1" x14ac:dyDescent="0.25">
      <c r="A37" s="30" t="s">
        <v>136</v>
      </c>
      <c r="B37" s="30" t="s">
        <v>68</v>
      </c>
      <c r="C37" s="30" t="s">
        <v>278</v>
      </c>
      <c r="D37" s="29" t="s">
        <v>15</v>
      </c>
      <c r="E37" s="44">
        <v>0.95</v>
      </c>
      <c r="F37" s="45" t="s">
        <v>157</v>
      </c>
      <c r="G37" s="29" t="s">
        <v>34</v>
      </c>
      <c r="H37" s="29" t="s">
        <v>69</v>
      </c>
      <c r="I37" s="33"/>
      <c r="J37" s="30" t="s">
        <v>18</v>
      </c>
      <c r="K37" s="34"/>
      <c r="L37" s="35"/>
      <c r="M37" s="36" t="s">
        <v>19</v>
      </c>
      <c r="N37" s="33">
        <v>160000000</v>
      </c>
      <c r="O37" s="33">
        <v>160000000</v>
      </c>
      <c r="P37" s="33">
        <v>160000000</v>
      </c>
      <c r="Q37" s="33">
        <v>160000000</v>
      </c>
      <c r="R37" s="33">
        <v>160000000</v>
      </c>
      <c r="S37" s="33">
        <v>160000000</v>
      </c>
      <c r="T37" s="33">
        <v>160000000</v>
      </c>
      <c r="U37" s="37"/>
      <c r="V37" s="33">
        <v>1800000000</v>
      </c>
      <c r="W37" s="33">
        <v>830000000</v>
      </c>
      <c r="X37" s="33">
        <v>660529412.31229126</v>
      </c>
      <c r="Y37" s="30" t="s">
        <v>20</v>
      </c>
      <c r="Z37" s="53" t="s">
        <v>210</v>
      </c>
      <c r="AA37" s="53" t="s">
        <v>226</v>
      </c>
      <c r="AB37" s="54" t="b">
        <v>1</v>
      </c>
      <c r="AC37" s="55">
        <v>0.03</v>
      </c>
      <c r="AD37" s="55">
        <v>0.1</v>
      </c>
      <c r="AE37" s="55">
        <v>0.4</v>
      </c>
      <c r="AF37" s="55">
        <v>0.75</v>
      </c>
      <c r="AG37" s="54">
        <v>1000</v>
      </c>
      <c r="AH37" s="56">
        <v>0.8</v>
      </c>
      <c r="AI37" s="57">
        <v>1E-3</v>
      </c>
      <c r="AJ37" s="56">
        <v>0.4</v>
      </c>
      <c r="AK37" s="58">
        <v>1.4</v>
      </c>
      <c r="AL37" s="56">
        <v>0.2</v>
      </c>
      <c r="AM37" s="56">
        <v>0.5</v>
      </c>
      <c r="AN37" s="56">
        <v>1</v>
      </c>
    </row>
    <row r="38" spans="1:40" s="2" customFormat="1" x14ac:dyDescent="0.25">
      <c r="A38" s="30" t="s">
        <v>137</v>
      </c>
      <c r="B38" s="30" t="s">
        <v>70</v>
      </c>
      <c r="C38" s="30" t="s">
        <v>71</v>
      </c>
      <c r="D38" s="29" t="s">
        <v>15</v>
      </c>
      <c r="E38" s="44">
        <v>0.97499999999999998</v>
      </c>
      <c r="F38" s="45" t="s">
        <v>157</v>
      </c>
      <c r="G38" s="29" t="s">
        <v>34</v>
      </c>
      <c r="H38" s="29" t="s">
        <v>17</v>
      </c>
      <c r="I38" s="33"/>
      <c r="J38" s="30" t="s">
        <v>18</v>
      </c>
      <c r="K38" s="34"/>
      <c r="L38" s="35"/>
      <c r="M38" s="36" t="s">
        <v>45</v>
      </c>
      <c r="N38" s="33">
        <v>200000000</v>
      </c>
      <c r="O38" s="33">
        <v>200000000</v>
      </c>
      <c r="P38" s="33">
        <v>200000000</v>
      </c>
      <c r="Q38" s="33">
        <v>200000000</v>
      </c>
      <c r="R38" s="33">
        <v>125000000</v>
      </c>
      <c r="S38" s="33"/>
      <c r="T38" s="33"/>
      <c r="U38" s="37"/>
      <c r="V38" s="33">
        <v>400000000</v>
      </c>
      <c r="W38" s="33">
        <v>300000000</v>
      </c>
      <c r="X38" s="33">
        <v>82441780.75723739</v>
      </c>
      <c r="Y38" s="30" t="s">
        <v>20</v>
      </c>
      <c r="Z38" s="53" t="s">
        <v>211</v>
      </c>
      <c r="AA38" s="53" t="s">
        <v>226</v>
      </c>
      <c r="AB38" s="54" t="b">
        <v>0</v>
      </c>
      <c r="AC38" s="55">
        <v>0.03</v>
      </c>
      <c r="AD38" s="55">
        <v>0.1</v>
      </c>
      <c r="AE38" s="55">
        <v>0.4</v>
      </c>
      <c r="AF38" s="55">
        <v>0.75</v>
      </c>
      <c r="AG38" s="54">
        <v>1000</v>
      </c>
      <c r="AH38" s="56">
        <v>0.8</v>
      </c>
      <c r="AI38" s="57">
        <v>1E-3</v>
      </c>
      <c r="AJ38" s="56">
        <v>0.5</v>
      </c>
      <c r="AK38" s="58">
        <v>1.4</v>
      </c>
      <c r="AL38" s="56">
        <v>0.2</v>
      </c>
      <c r="AM38" s="56">
        <v>0.5</v>
      </c>
      <c r="AN38" s="56">
        <v>1</v>
      </c>
    </row>
    <row r="39" spans="1:40" s="2" customFormat="1" x14ac:dyDescent="0.25">
      <c r="A39" s="30" t="s">
        <v>138</v>
      </c>
      <c r="B39" s="30" t="s">
        <v>72</v>
      </c>
      <c r="C39" s="30" t="s">
        <v>73</v>
      </c>
      <c r="D39" s="29" t="s">
        <v>15</v>
      </c>
      <c r="E39" s="44">
        <v>0.99</v>
      </c>
      <c r="F39" s="45" t="s">
        <v>157</v>
      </c>
      <c r="G39" s="29" t="s">
        <v>34</v>
      </c>
      <c r="H39" s="29" t="s">
        <v>17</v>
      </c>
      <c r="I39" s="33"/>
      <c r="J39" s="30" t="s">
        <v>18</v>
      </c>
      <c r="K39" s="34"/>
      <c r="L39" s="35"/>
      <c r="M39" s="36" t="s">
        <v>19</v>
      </c>
      <c r="N39" s="33">
        <v>1500000000</v>
      </c>
      <c r="O39" s="33">
        <v>1500000000</v>
      </c>
      <c r="P39" s="33">
        <v>1500000000</v>
      </c>
      <c r="Q39" s="33">
        <v>1500000000</v>
      </c>
      <c r="R39" s="33">
        <v>1500000000</v>
      </c>
      <c r="S39" s="33"/>
      <c r="T39" s="33"/>
      <c r="U39" s="37"/>
      <c r="V39" s="33">
        <v>5277000000</v>
      </c>
      <c r="W39" s="33">
        <v>3056000000</v>
      </c>
      <c r="X39" s="33">
        <v>2329956213.674808</v>
      </c>
      <c r="Y39" s="30" t="s">
        <v>20</v>
      </c>
      <c r="Z39" s="53" t="s">
        <v>210</v>
      </c>
      <c r="AA39" s="53" t="s">
        <v>224</v>
      </c>
      <c r="AB39" s="54" t="b">
        <v>0</v>
      </c>
      <c r="AC39" s="55">
        <v>0.03</v>
      </c>
      <c r="AD39" s="55">
        <v>0.1</v>
      </c>
      <c r="AE39" s="55">
        <v>0.4</v>
      </c>
      <c r="AF39" s="55">
        <v>0.75</v>
      </c>
      <c r="AG39" s="54">
        <v>1000</v>
      </c>
      <c r="AH39" s="56">
        <v>0.8</v>
      </c>
      <c r="AI39" s="57">
        <v>1E-3</v>
      </c>
      <c r="AJ39" s="56">
        <v>0.4</v>
      </c>
      <c r="AK39" s="58">
        <v>1.4</v>
      </c>
      <c r="AL39" s="56">
        <v>0.2</v>
      </c>
      <c r="AM39" s="56">
        <v>0.5</v>
      </c>
      <c r="AN39" s="56">
        <v>1</v>
      </c>
    </row>
    <row r="40" spans="1:40" s="2" customFormat="1" x14ac:dyDescent="0.25">
      <c r="A40" s="30" t="s">
        <v>139</v>
      </c>
      <c r="B40" s="30" t="s">
        <v>74</v>
      </c>
      <c r="C40" s="30" t="s">
        <v>75</v>
      </c>
      <c r="D40" s="29" t="s">
        <v>15</v>
      </c>
      <c r="E40" s="44">
        <v>0.95</v>
      </c>
      <c r="F40" s="45" t="s">
        <v>157</v>
      </c>
      <c r="G40" s="29" t="s">
        <v>34</v>
      </c>
      <c r="H40" s="29" t="s">
        <v>17</v>
      </c>
      <c r="I40" s="33"/>
      <c r="J40" s="30" t="s">
        <v>18</v>
      </c>
      <c r="K40" s="34"/>
      <c r="L40" s="35"/>
      <c r="M40" s="36" t="s">
        <v>19</v>
      </c>
      <c r="N40" s="33">
        <v>280000000</v>
      </c>
      <c r="O40" s="33">
        <v>280000000</v>
      </c>
      <c r="P40" s="33">
        <v>280000000</v>
      </c>
      <c r="Q40" s="33">
        <v>280000000</v>
      </c>
      <c r="R40" s="33">
        <v>280000000</v>
      </c>
      <c r="S40" s="33">
        <v>280000000</v>
      </c>
      <c r="T40" s="33">
        <v>280000000</v>
      </c>
      <c r="U40" s="37"/>
      <c r="V40" s="33">
        <v>1200000000</v>
      </c>
      <c r="W40" s="33">
        <v>500000000</v>
      </c>
      <c r="X40" s="33">
        <v>4009399276.4352565</v>
      </c>
      <c r="Y40" s="30" t="s">
        <v>31</v>
      </c>
      <c r="Z40" s="53" t="s">
        <v>210</v>
      </c>
      <c r="AA40" s="53" t="s">
        <v>225</v>
      </c>
      <c r="AB40" s="47" t="b">
        <v>0</v>
      </c>
      <c r="AC40" s="55">
        <v>0.03</v>
      </c>
      <c r="AD40" s="55">
        <v>0.1</v>
      </c>
      <c r="AE40" s="55">
        <v>0.4</v>
      </c>
      <c r="AF40" s="55">
        <v>0.75</v>
      </c>
      <c r="AG40" s="54">
        <v>1000</v>
      </c>
      <c r="AH40" s="56">
        <v>0.8</v>
      </c>
      <c r="AI40" s="57">
        <v>1E-3</v>
      </c>
      <c r="AJ40" s="56">
        <v>0.4</v>
      </c>
      <c r="AK40" s="58">
        <v>1.4</v>
      </c>
      <c r="AL40" s="56">
        <v>0.2</v>
      </c>
      <c r="AM40" s="56">
        <v>0.5</v>
      </c>
      <c r="AN40" s="56">
        <v>1</v>
      </c>
    </row>
    <row r="41" spans="1:40" s="2" customFormat="1" x14ac:dyDescent="0.25">
      <c r="A41" s="30" t="s">
        <v>140</v>
      </c>
      <c r="B41" s="52" t="s">
        <v>103</v>
      </c>
      <c r="C41" s="30" t="s">
        <v>104</v>
      </c>
      <c r="D41" s="29" t="s">
        <v>15</v>
      </c>
      <c r="E41" s="44">
        <v>0.95</v>
      </c>
      <c r="F41" s="45" t="s">
        <v>157</v>
      </c>
      <c r="G41" s="29" t="s">
        <v>16</v>
      </c>
      <c r="H41" s="29" t="s">
        <v>23</v>
      </c>
      <c r="I41" s="33"/>
      <c r="J41" s="30" t="s">
        <v>18</v>
      </c>
      <c r="K41" s="34"/>
      <c r="L41" s="35"/>
      <c r="M41" s="36" t="s">
        <v>19</v>
      </c>
      <c r="N41" s="33">
        <v>250000000</v>
      </c>
      <c r="O41" s="33">
        <v>250000000</v>
      </c>
      <c r="P41" s="33">
        <v>250000000</v>
      </c>
      <c r="Q41" s="33">
        <v>250000000</v>
      </c>
      <c r="R41" s="33">
        <v>250000000</v>
      </c>
      <c r="S41" s="33">
        <v>250000000</v>
      </c>
      <c r="T41" s="33">
        <v>0</v>
      </c>
      <c r="U41" s="37"/>
      <c r="V41" s="33">
        <v>1600000000</v>
      </c>
      <c r="W41" s="33">
        <v>1100000000</v>
      </c>
      <c r="X41" s="33">
        <v>114510273.27843179</v>
      </c>
      <c r="Y41" s="30" t="s">
        <v>35</v>
      </c>
      <c r="Z41" s="53" t="s">
        <v>211</v>
      </c>
      <c r="AA41" s="53" t="s">
        <v>226</v>
      </c>
      <c r="AB41" s="47" t="b">
        <v>0</v>
      </c>
      <c r="AC41" s="55">
        <v>0.03</v>
      </c>
      <c r="AD41" s="55">
        <v>0.11</v>
      </c>
      <c r="AE41" s="55">
        <v>0.4</v>
      </c>
      <c r="AF41" s="55">
        <v>0.75</v>
      </c>
      <c r="AG41" s="54">
        <v>1000</v>
      </c>
      <c r="AH41" s="56">
        <v>0.8</v>
      </c>
      <c r="AI41" s="57">
        <v>1E-3</v>
      </c>
      <c r="AJ41" s="56">
        <v>0.55000000000000004</v>
      </c>
      <c r="AK41" s="58">
        <v>1.4</v>
      </c>
      <c r="AL41" s="56">
        <v>0.2</v>
      </c>
      <c r="AM41" s="56">
        <v>0.5</v>
      </c>
      <c r="AN41" s="56">
        <v>1</v>
      </c>
    </row>
    <row r="42" spans="1:40" s="2" customFormat="1" x14ac:dyDescent="0.25">
      <c r="A42" s="30" t="s">
        <v>141</v>
      </c>
      <c r="B42" s="30" t="s">
        <v>77</v>
      </c>
      <c r="C42" s="30" t="s">
        <v>78</v>
      </c>
      <c r="D42" s="29" t="s">
        <v>38</v>
      </c>
      <c r="E42" s="44"/>
      <c r="F42" s="45"/>
      <c r="G42" s="29"/>
      <c r="H42" s="29" t="s">
        <v>17</v>
      </c>
      <c r="I42" s="33"/>
      <c r="J42" s="30" t="s">
        <v>24</v>
      </c>
      <c r="K42" s="34" t="s">
        <v>291</v>
      </c>
      <c r="L42" s="35" t="s">
        <v>179</v>
      </c>
      <c r="M42" s="36" t="s">
        <v>45</v>
      </c>
      <c r="N42" s="33">
        <v>220000000</v>
      </c>
      <c r="O42" s="33">
        <v>220000000</v>
      </c>
      <c r="P42" s="33">
        <v>220000000</v>
      </c>
      <c r="Q42" s="33">
        <v>220000000</v>
      </c>
      <c r="R42" s="33">
        <v>220000000</v>
      </c>
      <c r="S42" s="33">
        <v>220000000</v>
      </c>
      <c r="T42" s="33"/>
      <c r="U42" s="37"/>
      <c r="V42" s="33">
        <v>1200000000</v>
      </c>
      <c r="W42" s="33">
        <v>650000000</v>
      </c>
      <c r="X42" s="33">
        <v>50538373.024394527</v>
      </c>
      <c r="Y42" s="30" t="s">
        <v>20</v>
      </c>
      <c r="Z42" s="53" t="s">
        <v>211</v>
      </c>
      <c r="AA42" s="53" t="s">
        <v>226</v>
      </c>
      <c r="AB42" s="47" t="b">
        <v>0</v>
      </c>
      <c r="AC42" s="55">
        <v>0.03</v>
      </c>
      <c r="AD42" s="55">
        <v>0.1</v>
      </c>
      <c r="AE42" s="55">
        <v>0.4</v>
      </c>
      <c r="AF42" s="55">
        <v>0.75</v>
      </c>
      <c r="AG42" s="54">
        <v>1000</v>
      </c>
      <c r="AH42" s="56">
        <v>0.8</v>
      </c>
      <c r="AI42" s="57">
        <v>1E-3</v>
      </c>
      <c r="AJ42" s="56">
        <v>0.4</v>
      </c>
      <c r="AK42" s="58">
        <v>1.4</v>
      </c>
      <c r="AL42" s="56">
        <v>0.2</v>
      </c>
      <c r="AM42" s="56">
        <v>0.5</v>
      </c>
      <c r="AN42" s="56">
        <v>1</v>
      </c>
    </row>
    <row r="43" spans="1:40" s="2" customFormat="1" x14ac:dyDescent="0.25">
      <c r="A43" s="30" t="s">
        <v>143</v>
      </c>
      <c r="B43" s="52" t="s">
        <v>174</v>
      </c>
      <c r="C43" s="30" t="s">
        <v>108</v>
      </c>
      <c r="D43" s="29" t="s">
        <v>15</v>
      </c>
      <c r="E43" s="44">
        <v>0.95</v>
      </c>
      <c r="F43" s="45" t="s">
        <v>157</v>
      </c>
      <c r="G43" s="29" t="s">
        <v>16</v>
      </c>
      <c r="H43" s="29" t="s">
        <v>17</v>
      </c>
      <c r="I43" s="33"/>
      <c r="J43" s="30" t="s">
        <v>18</v>
      </c>
      <c r="K43" s="34"/>
      <c r="L43" s="35"/>
      <c r="M43" s="36" t="s">
        <v>45</v>
      </c>
      <c r="N43" s="33">
        <v>430000000</v>
      </c>
      <c r="O43" s="33">
        <v>400000000</v>
      </c>
      <c r="P43" s="33">
        <v>380000000</v>
      </c>
      <c r="Q43" s="33">
        <v>380000000</v>
      </c>
      <c r="R43" s="33">
        <v>380000000</v>
      </c>
      <c r="S43" s="33"/>
      <c r="T43" s="33"/>
      <c r="U43" s="37"/>
      <c r="V43" s="33">
        <v>2500000000</v>
      </c>
      <c r="W43" s="33">
        <v>1300000000</v>
      </c>
      <c r="X43" s="33">
        <v>98663038.397879526</v>
      </c>
      <c r="Y43" s="30" t="s">
        <v>31</v>
      </c>
      <c r="Z43" s="53" t="s">
        <v>210</v>
      </c>
      <c r="AA43" s="53" t="s">
        <v>225</v>
      </c>
      <c r="AB43" s="47" t="b">
        <v>1</v>
      </c>
      <c r="AC43" s="55">
        <v>0.03</v>
      </c>
      <c r="AD43" s="55">
        <v>0.1</v>
      </c>
      <c r="AE43" s="55">
        <v>0.4</v>
      </c>
      <c r="AF43" s="55">
        <v>0.75</v>
      </c>
      <c r="AG43" s="54">
        <v>1000</v>
      </c>
      <c r="AH43" s="56">
        <v>0.8</v>
      </c>
      <c r="AI43" s="57">
        <v>1E-3</v>
      </c>
      <c r="AJ43" s="56">
        <v>0.4</v>
      </c>
      <c r="AK43" s="58">
        <v>1.4</v>
      </c>
      <c r="AL43" s="56">
        <v>0.2</v>
      </c>
      <c r="AM43" s="56">
        <v>0.5</v>
      </c>
      <c r="AN43" s="56">
        <v>1</v>
      </c>
    </row>
    <row r="44" spans="1:40" s="2" customFormat="1" x14ac:dyDescent="0.25">
      <c r="A44" s="30" t="s">
        <v>144</v>
      </c>
      <c r="B44" s="52" t="s">
        <v>79</v>
      </c>
      <c r="C44" s="30" t="s">
        <v>80</v>
      </c>
      <c r="D44" s="30" t="s">
        <v>15</v>
      </c>
      <c r="E44" s="44">
        <v>0.95</v>
      </c>
      <c r="F44" s="45" t="s">
        <v>157</v>
      </c>
      <c r="G44" s="30" t="s">
        <v>34</v>
      </c>
      <c r="H44" s="30" t="s">
        <v>17</v>
      </c>
      <c r="I44" s="33">
        <v>2750000000</v>
      </c>
      <c r="J44" s="30" t="s">
        <v>18</v>
      </c>
      <c r="K44" s="34"/>
      <c r="L44" s="35"/>
      <c r="M44" s="36" t="s">
        <v>45</v>
      </c>
      <c r="N44" s="33">
        <v>280000000</v>
      </c>
      <c r="O44" s="33">
        <v>280000000</v>
      </c>
      <c r="P44" s="33">
        <v>280000000</v>
      </c>
      <c r="Q44" s="33">
        <v>170000000</v>
      </c>
      <c r="R44" s="33">
        <v>170000000</v>
      </c>
      <c r="S44" s="33"/>
      <c r="T44" s="33"/>
      <c r="U44" s="37"/>
      <c r="V44" s="33">
        <v>1220000000</v>
      </c>
      <c r="W44" s="33">
        <v>1220000000</v>
      </c>
      <c r="X44" s="33">
        <v>79292057.184333503</v>
      </c>
      <c r="Y44" s="30" t="s">
        <v>277</v>
      </c>
      <c r="Z44" s="53" t="s">
        <v>210</v>
      </c>
      <c r="AA44" s="53" t="s">
        <v>224</v>
      </c>
      <c r="AB44" s="47" t="b">
        <v>0</v>
      </c>
      <c r="AC44" s="55">
        <v>0.03</v>
      </c>
      <c r="AD44" s="55">
        <v>0.1</v>
      </c>
      <c r="AE44" s="55">
        <v>0.4</v>
      </c>
      <c r="AF44" s="55">
        <v>0.75</v>
      </c>
      <c r="AG44" s="54">
        <v>1000</v>
      </c>
      <c r="AH44" s="56">
        <v>0.8</v>
      </c>
      <c r="AI44" s="57">
        <v>1E-3</v>
      </c>
      <c r="AJ44" s="56">
        <v>0.4</v>
      </c>
      <c r="AK44" s="58">
        <v>1.4</v>
      </c>
      <c r="AL44" s="56">
        <v>0.2</v>
      </c>
      <c r="AM44" s="56">
        <v>0.5</v>
      </c>
      <c r="AN44" s="56">
        <v>1</v>
      </c>
    </row>
    <row r="45" spans="1:40" x14ac:dyDescent="0.25">
      <c r="A45" s="30" t="s">
        <v>145</v>
      </c>
      <c r="B45" s="52" t="s">
        <v>145</v>
      </c>
      <c r="C45" s="30" t="s">
        <v>83</v>
      </c>
      <c r="D45" s="29" t="s">
        <v>15</v>
      </c>
      <c r="E45" s="44">
        <v>0.95</v>
      </c>
      <c r="F45" s="45" t="s">
        <v>157</v>
      </c>
      <c r="G45" s="29" t="s">
        <v>34</v>
      </c>
      <c r="H45" s="29" t="s">
        <v>17</v>
      </c>
      <c r="I45" s="33"/>
      <c r="J45" s="30" t="s">
        <v>24</v>
      </c>
      <c r="K45" s="34"/>
      <c r="L45" s="35"/>
      <c r="M45" s="36" t="s">
        <v>19</v>
      </c>
      <c r="N45" s="33">
        <v>225000000</v>
      </c>
      <c r="O45" s="33">
        <v>185000000</v>
      </c>
      <c r="P45" s="33">
        <v>150000000</v>
      </c>
      <c r="Q45" s="33">
        <v>110000000</v>
      </c>
      <c r="R45" s="33">
        <v>105000000</v>
      </c>
      <c r="S45" s="33">
        <v>75000000</v>
      </c>
      <c r="T45" s="33">
        <v>50000000</v>
      </c>
      <c r="U45" s="37"/>
      <c r="V45" s="33">
        <v>1750000000</v>
      </c>
      <c r="W45" s="33">
        <v>600000000</v>
      </c>
      <c r="X45" s="33">
        <v>20623242.01446978</v>
      </c>
      <c r="Y45" s="30" t="s">
        <v>31</v>
      </c>
      <c r="Z45" s="53" t="s">
        <v>210</v>
      </c>
      <c r="AA45" s="53" t="s">
        <v>225</v>
      </c>
      <c r="AB45" s="54" t="b">
        <v>1</v>
      </c>
      <c r="AC45" s="55">
        <v>0.03</v>
      </c>
      <c r="AD45" s="55">
        <v>0.1</v>
      </c>
      <c r="AE45" s="55">
        <v>0.4</v>
      </c>
      <c r="AF45" s="55">
        <v>0.75</v>
      </c>
      <c r="AG45" s="54">
        <v>1000</v>
      </c>
      <c r="AH45" s="56">
        <v>0.8</v>
      </c>
      <c r="AI45" s="57">
        <v>1E-3</v>
      </c>
      <c r="AJ45" s="56">
        <v>0.4</v>
      </c>
      <c r="AK45" s="58">
        <v>1.4</v>
      </c>
      <c r="AL45" s="56">
        <v>0.2</v>
      </c>
      <c r="AM45" s="56">
        <v>0.5</v>
      </c>
      <c r="AN45" s="56">
        <v>1</v>
      </c>
    </row>
    <row r="46" spans="1:40" x14ac:dyDescent="0.25">
      <c r="A46" s="30" t="s">
        <v>81</v>
      </c>
      <c r="B46" s="30" t="s">
        <v>81</v>
      </c>
      <c r="C46" s="30" t="s">
        <v>82</v>
      </c>
      <c r="D46" s="29" t="s">
        <v>15</v>
      </c>
      <c r="E46" s="44">
        <v>0.95</v>
      </c>
      <c r="F46" s="45" t="s">
        <v>157</v>
      </c>
      <c r="G46" s="29" t="s">
        <v>16</v>
      </c>
      <c r="H46" s="29" t="s">
        <v>17</v>
      </c>
      <c r="I46" s="33"/>
      <c r="J46" s="30" t="s">
        <v>18</v>
      </c>
      <c r="K46" s="34"/>
      <c r="L46" s="35"/>
      <c r="M46" s="36" t="s">
        <v>45</v>
      </c>
      <c r="N46" s="33">
        <v>700000000</v>
      </c>
      <c r="O46" s="33">
        <v>700000000</v>
      </c>
      <c r="P46" s="33">
        <v>650000000</v>
      </c>
      <c r="Q46" s="33">
        <v>650000000</v>
      </c>
      <c r="R46" s="33">
        <v>650000000</v>
      </c>
      <c r="S46" s="33">
        <v>300000000</v>
      </c>
      <c r="T46" s="33"/>
      <c r="U46" s="37"/>
      <c r="V46" s="33">
        <v>4350000000</v>
      </c>
      <c r="W46" s="33">
        <v>2750000000</v>
      </c>
      <c r="X46" s="33">
        <v>2493857311.8243847</v>
      </c>
      <c r="Y46" s="30" t="s">
        <v>288</v>
      </c>
      <c r="Z46" s="53" t="s">
        <v>210</v>
      </c>
      <c r="AA46" s="53" t="s">
        <v>224</v>
      </c>
      <c r="AB46" s="47" t="b">
        <v>0</v>
      </c>
      <c r="AC46" s="55">
        <v>0.03</v>
      </c>
      <c r="AD46" s="55">
        <v>0.1</v>
      </c>
      <c r="AE46" s="55">
        <v>0.4</v>
      </c>
      <c r="AF46" s="55">
        <v>0.75</v>
      </c>
      <c r="AG46" s="54">
        <v>1000</v>
      </c>
      <c r="AH46" s="56">
        <v>0.8</v>
      </c>
      <c r="AI46" s="57">
        <v>1E-3</v>
      </c>
      <c r="AJ46" s="56">
        <v>0.4</v>
      </c>
      <c r="AK46" s="58">
        <v>1.4</v>
      </c>
      <c r="AL46" s="56">
        <v>0.2</v>
      </c>
      <c r="AM46" s="56">
        <v>0.5</v>
      </c>
      <c r="AN46" s="56">
        <v>1</v>
      </c>
    </row>
    <row r="47" spans="1:40" x14ac:dyDescent="0.25">
      <c r="A47" s="30" t="s">
        <v>150</v>
      </c>
      <c r="B47" s="30" t="s">
        <v>91</v>
      </c>
      <c r="C47" s="30" t="s">
        <v>92</v>
      </c>
      <c r="D47" s="29" t="s">
        <v>15</v>
      </c>
      <c r="E47" s="44">
        <v>0.99</v>
      </c>
      <c r="F47" s="45" t="s">
        <v>157</v>
      </c>
      <c r="G47" s="29" t="s">
        <v>16</v>
      </c>
      <c r="H47" s="29" t="s">
        <v>17</v>
      </c>
      <c r="I47" s="33"/>
      <c r="J47" s="30" t="s">
        <v>24</v>
      </c>
      <c r="K47" s="34"/>
      <c r="L47" s="35"/>
      <c r="M47" s="36" t="s">
        <v>45</v>
      </c>
      <c r="N47" s="33">
        <v>200000000</v>
      </c>
      <c r="O47" s="33">
        <v>200000000</v>
      </c>
      <c r="P47" s="33">
        <v>200000000</v>
      </c>
      <c r="Q47" s="33">
        <v>200000000</v>
      </c>
      <c r="R47" s="33">
        <v>125000000</v>
      </c>
      <c r="S47" s="33"/>
      <c r="T47" s="33"/>
      <c r="U47" s="37"/>
      <c r="V47" s="33">
        <v>225000000</v>
      </c>
      <c r="W47" s="33">
        <v>225000000</v>
      </c>
      <c r="X47" s="33">
        <v>56670553.667067252</v>
      </c>
      <c r="Y47" s="30" t="s">
        <v>20</v>
      </c>
      <c r="Z47" s="53" t="s">
        <v>210</v>
      </c>
      <c r="AA47" s="53" t="s">
        <v>224</v>
      </c>
      <c r="AB47" s="47" t="b">
        <v>0</v>
      </c>
      <c r="AC47" s="55">
        <v>0.03</v>
      </c>
      <c r="AD47" s="55">
        <v>0.1</v>
      </c>
      <c r="AE47" s="55">
        <v>0.4</v>
      </c>
      <c r="AF47" s="55">
        <v>0.75</v>
      </c>
      <c r="AG47" s="54">
        <v>1000</v>
      </c>
      <c r="AH47" s="56">
        <v>0.8</v>
      </c>
      <c r="AI47" s="57">
        <v>1E-3</v>
      </c>
      <c r="AJ47" s="56">
        <v>0.5</v>
      </c>
      <c r="AK47" s="58">
        <v>1.4</v>
      </c>
      <c r="AL47" s="56">
        <v>0.2</v>
      </c>
      <c r="AM47" s="56">
        <v>0.5</v>
      </c>
      <c r="AN47" s="56">
        <v>1</v>
      </c>
    </row>
    <row r="48" spans="1:40" x14ac:dyDescent="0.25">
      <c r="A48" s="30" t="s">
        <v>149</v>
      </c>
      <c r="B48" s="30" t="s">
        <v>89</v>
      </c>
      <c r="C48" s="30" t="s">
        <v>90</v>
      </c>
      <c r="D48" s="29" t="s">
        <v>15</v>
      </c>
      <c r="E48" s="44">
        <v>0.75</v>
      </c>
      <c r="F48" s="45" t="s">
        <v>157</v>
      </c>
      <c r="G48" s="29" t="s">
        <v>34</v>
      </c>
      <c r="H48" s="29" t="s">
        <v>17</v>
      </c>
      <c r="I48" s="33"/>
      <c r="J48" s="30" t="s">
        <v>18</v>
      </c>
      <c r="K48" s="34"/>
      <c r="L48" s="35"/>
      <c r="M48" s="36" t="s">
        <v>19</v>
      </c>
      <c r="N48" s="33">
        <v>225000000</v>
      </c>
      <c r="O48" s="33">
        <v>225000000</v>
      </c>
      <c r="P48" s="33">
        <v>225000000</v>
      </c>
      <c r="Q48" s="33">
        <v>180000000</v>
      </c>
      <c r="R48" s="33">
        <v>180000000</v>
      </c>
      <c r="S48" s="33">
        <v>121000000</v>
      </c>
      <c r="T48" s="33">
        <v>30000000</v>
      </c>
      <c r="U48" s="37"/>
      <c r="V48" s="33">
        <v>3000000000</v>
      </c>
      <c r="W48" s="33">
        <v>2000000000</v>
      </c>
      <c r="X48" s="33">
        <v>139849190.23312873</v>
      </c>
      <c r="Y48" s="30" t="s">
        <v>289</v>
      </c>
      <c r="Z48" s="53" t="s">
        <v>210</v>
      </c>
      <c r="AA48" s="53" t="s">
        <v>224</v>
      </c>
      <c r="AB48" s="47" t="b">
        <v>1</v>
      </c>
      <c r="AC48" s="55">
        <v>0.03</v>
      </c>
      <c r="AD48" s="55">
        <v>0.1</v>
      </c>
      <c r="AE48" s="55">
        <v>0.4</v>
      </c>
      <c r="AF48" s="55">
        <v>0.75</v>
      </c>
      <c r="AG48" s="54">
        <v>1000</v>
      </c>
      <c r="AH48" s="56">
        <v>0.8</v>
      </c>
      <c r="AI48" s="57">
        <v>1E-3</v>
      </c>
      <c r="AJ48" s="56">
        <v>0.4</v>
      </c>
      <c r="AK48" s="58">
        <v>1.4</v>
      </c>
      <c r="AL48" s="56">
        <v>0.2</v>
      </c>
      <c r="AM48" s="56">
        <v>0.5</v>
      </c>
      <c r="AN48" s="56">
        <v>1</v>
      </c>
    </row>
    <row r="49" spans="1:40" s="2" customFormat="1" x14ac:dyDescent="0.25">
      <c r="A49" s="30" t="s">
        <v>151</v>
      </c>
      <c r="B49" s="30" t="s">
        <v>93</v>
      </c>
      <c r="C49" s="30" t="s">
        <v>94</v>
      </c>
      <c r="D49" s="29" t="s">
        <v>15</v>
      </c>
      <c r="E49" s="44">
        <v>0.95</v>
      </c>
      <c r="F49" s="45" t="s">
        <v>157</v>
      </c>
      <c r="G49" s="29" t="s">
        <v>16</v>
      </c>
      <c r="H49" s="29" t="s">
        <v>17</v>
      </c>
      <c r="I49" s="33"/>
      <c r="J49" s="30" t="s">
        <v>18</v>
      </c>
      <c r="K49" s="34"/>
      <c r="L49" s="35"/>
      <c r="M49" s="36" t="s">
        <v>19</v>
      </c>
      <c r="N49" s="33">
        <v>735000000</v>
      </c>
      <c r="O49" s="33">
        <v>735000000</v>
      </c>
      <c r="P49" s="33">
        <v>735000000</v>
      </c>
      <c r="Q49" s="33">
        <v>735000000</v>
      </c>
      <c r="R49" s="33">
        <v>735000000</v>
      </c>
      <c r="S49" s="33">
        <v>735000000</v>
      </c>
      <c r="T49" s="33">
        <v>735000000</v>
      </c>
      <c r="U49" s="37"/>
      <c r="V49" s="33">
        <v>1000000000</v>
      </c>
      <c r="W49" s="33">
        <v>1000000000</v>
      </c>
      <c r="X49" s="33">
        <v>530553101.91495079</v>
      </c>
      <c r="Y49" s="52" t="s">
        <v>20</v>
      </c>
      <c r="Z49" s="53" t="s">
        <v>211</v>
      </c>
      <c r="AA49" s="53" t="s">
        <v>226</v>
      </c>
      <c r="AB49" s="47" t="b">
        <v>0</v>
      </c>
      <c r="AC49" s="55">
        <v>0.03</v>
      </c>
      <c r="AD49" s="55">
        <v>0.1</v>
      </c>
      <c r="AE49" s="55">
        <v>0.4</v>
      </c>
      <c r="AF49" s="55">
        <v>0.75</v>
      </c>
      <c r="AG49" s="54">
        <v>1000</v>
      </c>
      <c r="AH49" s="56">
        <v>0.8</v>
      </c>
      <c r="AI49" s="57">
        <v>1E-3</v>
      </c>
      <c r="AJ49" s="56">
        <v>0.4</v>
      </c>
      <c r="AK49" s="58">
        <v>1.4</v>
      </c>
      <c r="AL49" s="56">
        <v>0.2</v>
      </c>
      <c r="AM49" s="56">
        <v>0.5</v>
      </c>
      <c r="AN49" s="56">
        <v>1</v>
      </c>
    </row>
    <row r="50" spans="1:40" s="2" customFormat="1" x14ac:dyDescent="0.25">
      <c r="A50" s="30" t="s">
        <v>148</v>
      </c>
      <c r="B50" s="30" t="s">
        <v>87</v>
      </c>
      <c r="C50" s="30" t="s">
        <v>88</v>
      </c>
      <c r="D50" s="29" t="s">
        <v>15</v>
      </c>
      <c r="E50" s="44">
        <v>0.999</v>
      </c>
      <c r="F50" s="45" t="s">
        <v>157</v>
      </c>
      <c r="G50" s="29" t="s">
        <v>16</v>
      </c>
      <c r="H50" s="29" t="s">
        <v>17</v>
      </c>
      <c r="I50" s="33"/>
      <c r="J50" s="30" t="s">
        <v>18</v>
      </c>
      <c r="K50" s="34"/>
      <c r="L50" s="35"/>
      <c r="M50" s="36" t="s">
        <v>19</v>
      </c>
      <c r="N50" s="33">
        <v>1380000000</v>
      </c>
      <c r="O50" s="33">
        <v>1200000000</v>
      </c>
      <c r="P50" s="33">
        <v>1200000000</v>
      </c>
      <c r="Q50" s="33">
        <v>1200000000</v>
      </c>
      <c r="R50" s="33">
        <v>1020000000</v>
      </c>
      <c r="S50" s="33">
        <v>377000000</v>
      </c>
      <c r="T50" s="33">
        <v>119000000</v>
      </c>
      <c r="U50" s="37"/>
      <c r="V50" s="33">
        <v>2000000000</v>
      </c>
      <c r="W50" s="33">
        <v>1750000000</v>
      </c>
      <c r="X50" s="33">
        <v>0</v>
      </c>
      <c r="Y50" s="30" t="s">
        <v>110</v>
      </c>
      <c r="Z50" s="53" t="s">
        <v>210</v>
      </c>
      <c r="AA50" s="53" t="s">
        <v>225</v>
      </c>
      <c r="AB50" s="54" t="b">
        <v>1</v>
      </c>
      <c r="AC50" s="55">
        <v>0.03</v>
      </c>
      <c r="AD50" s="55">
        <v>0.1</v>
      </c>
      <c r="AE50" s="55">
        <v>0.4</v>
      </c>
      <c r="AF50" s="55">
        <v>0.75</v>
      </c>
      <c r="AG50" s="54">
        <v>1000</v>
      </c>
      <c r="AH50" s="56">
        <v>0.8</v>
      </c>
      <c r="AI50" s="57">
        <v>1E-3</v>
      </c>
      <c r="AJ50" s="56">
        <v>0.4</v>
      </c>
      <c r="AK50" s="58">
        <v>1.4</v>
      </c>
      <c r="AL50" s="56">
        <v>0.2</v>
      </c>
      <c r="AM50" s="56">
        <v>0.5</v>
      </c>
      <c r="AN50" s="56">
        <v>1</v>
      </c>
    </row>
    <row r="51" spans="1:40" s="2" customFormat="1" x14ac:dyDescent="0.25">
      <c r="A51" s="30" t="s">
        <v>152</v>
      </c>
      <c r="B51" s="30" t="s">
        <v>95</v>
      </c>
      <c r="C51" s="30" t="s">
        <v>96</v>
      </c>
      <c r="D51" s="29" t="s">
        <v>15</v>
      </c>
      <c r="E51" s="44">
        <v>0.95</v>
      </c>
      <c r="F51" s="45" t="s">
        <v>157</v>
      </c>
      <c r="G51" s="29" t="s">
        <v>16</v>
      </c>
      <c r="H51" s="29" t="s">
        <v>17</v>
      </c>
      <c r="I51" s="33"/>
      <c r="J51" s="30" t="s">
        <v>18</v>
      </c>
      <c r="K51" s="34"/>
      <c r="L51" s="35"/>
      <c r="M51" s="36" t="s">
        <v>19</v>
      </c>
      <c r="N51" s="33">
        <v>325000000</v>
      </c>
      <c r="O51" s="33">
        <v>325000000</v>
      </c>
      <c r="P51" s="33">
        <v>325000000</v>
      </c>
      <c r="Q51" s="33">
        <v>225000000</v>
      </c>
      <c r="R51" s="33">
        <v>225000000</v>
      </c>
      <c r="S51" s="33">
        <v>20000000</v>
      </c>
      <c r="T51" s="33">
        <v>20000000</v>
      </c>
      <c r="U51" s="37"/>
      <c r="V51" s="33">
        <v>1511967308</v>
      </c>
      <c r="W51" s="33">
        <v>677524429</v>
      </c>
      <c r="X51" s="33">
        <v>3351362288.4651079</v>
      </c>
      <c r="Y51" s="30" t="s">
        <v>277</v>
      </c>
      <c r="Z51" s="53" t="s">
        <v>211</v>
      </c>
      <c r="AA51" s="53" t="s">
        <v>226</v>
      </c>
      <c r="AB51" s="47" t="b">
        <v>0</v>
      </c>
      <c r="AC51" s="55">
        <v>0.03</v>
      </c>
      <c r="AD51" s="55">
        <v>0.1</v>
      </c>
      <c r="AE51" s="55">
        <v>0.4</v>
      </c>
      <c r="AF51" s="55">
        <v>0.75</v>
      </c>
      <c r="AG51" s="54">
        <v>1000</v>
      </c>
      <c r="AH51" s="56">
        <v>0.8</v>
      </c>
      <c r="AI51" s="57">
        <v>1E-3</v>
      </c>
      <c r="AJ51" s="56">
        <v>0.4</v>
      </c>
      <c r="AK51" s="58">
        <v>1.4</v>
      </c>
      <c r="AL51" s="56">
        <v>0.2</v>
      </c>
      <c r="AM51" s="56">
        <v>0.5</v>
      </c>
      <c r="AN51" s="56">
        <v>1</v>
      </c>
    </row>
    <row r="52" spans="1:40" x14ac:dyDescent="0.25">
      <c r="A52" s="30" t="s">
        <v>97</v>
      </c>
      <c r="B52" s="30" t="s">
        <v>97</v>
      </c>
      <c r="C52" s="30" t="s">
        <v>98</v>
      </c>
      <c r="D52" s="29" t="s">
        <v>15</v>
      </c>
      <c r="E52" s="44">
        <v>0.95</v>
      </c>
      <c r="F52" s="45" t="s">
        <v>157</v>
      </c>
      <c r="G52" s="29" t="s">
        <v>34</v>
      </c>
      <c r="H52" s="29" t="s">
        <v>99</v>
      </c>
      <c r="I52" s="33"/>
      <c r="J52" s="30" t="s">
        <v>27</v>
      </c>
      <c r="K52" s="34"/>
      <c r="L52" s="35"/>
      <c r="M52" s="36" t="s">
        <v>19</v>
      </c>
      <c r="N52" s="33">
        <v>500000000</v>
      </c>
      <c r="O52" s="33">
        <v>500000000</v>
      </c>
      <c r="P52" s="33">
        <v>500000000</v>
      </c>
      <c r="Q52" s="33">
        <v>500000000</v>
      </c>
      <c r="R52" s="33">
        <v>500000000</v>
      </c>
      <c r="S52" s="33"/>
      <c r="T52" s="33"/>
      <c r="U52" s="37"/>
      <c r="V52" s="33">
        <v>630000000</v>
      </c>
      <c r="W52" s="33">
        <v>630000000</v>
      </c>
      <c r="X52" s="33">
        <v>94023677.085803151</v>
      </c>
      <c r="Y52" s="30" t="s">
        <v>107</v>
      </c>
      <c r="Z52" s="53" t="s">
        <v>210</v>
      </c>
      <c r="AA52" s="53" t="s">
        <v>225</v>
      </c>
      <c r="AB52" s="47" t="b">
        <v>1</v>
      </c>
      <c r="AC52" s="55">
        <v>0.03</v>
      </c>
      <c r="AD52" s="55">
        <v>0.1</v>
      </c>
      <c r="AE52" s="55">
        <v>0.4</v>
      </c>
      <c r="AF52" s="55">
        <v>0.75</v>
      </c>
      <c r="AG52" s="54">
        <v>1000</v>
      </c>
      <c r="AH52" s="56">
        <v>0.8</v>
      </c>
      <c r="AI52" s="57">
        <v>1E-3</v>
      </c>
      <c r="AJ52" s="56">
        <v>0.5</v>
      </c>
      <c r="AK52" s="58">
        <v>1.4</v>
      </c>
      <c r="AL52" s="56">
        <v>0.2</v>
      </c>
      <c r="AM52" s="56">
        <v>0.5</v>
      </c>
      <c r="AN52" s="56">
        <v>1</v>
      </c>
    </row>
    <row r="53" spans="1:40" s="2" customFormat="1" x14ac:dyDescent="0.25">
      <c r="A53" s="30" t="s">
        <v>293</v>
      </c>
      <c r="B53" s="52" t="s">
        <v>294</v>
      </c>
      <c r="C53" s="30" t="s">
        <v>295</v>
      </c>
      <c r="D53" s="29" t="s">
        <v>38</v>
      </c>
      <c r="E53" s="44"/>
      <c r="F53" s="45"/>
      <c r="G53" s="29" t="s">
        <v>16</v>
      </c>
      <c r="H53" s="29" t="s">
        <v>17</v>
      </c>
      <c r="I53" s="33"/>
      <c r="J53" s="30" t="s">
        <v>24</v>
      </c>
      <c r="K53" s="34" t="s">
        <v>296</v>
      </c>
      <c r="L53" s="35" t="s">
        <v>180</v>
      </c>
      <c r="M53" s="36" t="s">
        <v>19</v>
      </c>
      <c r="N53" s="33">
        <v>165000000</v>
      </c>
      <c r="O53" s="33">
        <v>165000000</v>
      </c>
      <c r="P53" s="33">
        <v>165000000</v>
      </c>
      <c r="Q53" s="33">
        <v>165000000</v>
      </c>
      <c r="R53" s="33">
        <v>165000000</v>
      </c>
      <c r="S53" s="33">
        <v>165000000</v>
      </c>
      <c r="T53" s="33"/>
      <c r="U53" s="37"/>
      <c r="V53" s="33">
        <v>400000000</v>
      </c>
      <c r="W53" s="33">
        <v>245000000</v>
      </c>
      <c r="X53" s="33">
        <v>44718530.23398041</v>
      </c>
      <c r="Y53" s="30" t="s">
        <v>20</v>
      </c>
      <c r="Z53" s="53" t="s">
        <v>211</v>
      </c>
      <c r="AA53" s="53" t="s">
        <v>226</v>
      </c>
      <c r="AB53" s="47" t="b">
        <v>0</v>
      </c>
      <c r="AC53" s="55">
        <v>0.03</v>
      </c>
      <c r="AD53" s="55">
        <v>0.1</v>
      </c>
      <c r="AE53" s="55">
        <v>0.4</v>
      </c>
      <c r="AF53" s="55">
        <v>0.75</v>
      </c>
      <c r="AG53" s="54">
        <v>1000</v>
      </c>
      <c r="AH53" s="56">
        <v>0.8</v>
      </c>
      <c r="AI53" s="57">
        <v>1E-3</v>
      </c>
      <c r="AJ53" s="56">
        <v>0.4</v>
      </c>
      <c r="AK53" s="58">
        <v>1.4</v>
      </c>
      <c r="AL53" s="56">
        <v>0.2</v>
      </c>
      <c r="AM53" s="56">
        <v>0.5</v>
      </c>
      <c r="AN53" s="56">
        <v>1</v>
      </c>
    </row>
    <row r="54" spans="1:40" s="2" customFormat="1" x14ac:dyDescent="0.25">
      <c r="A54" s="30" t="s">
        <v>154</v>
      </c>
      <c r="B54" s="30" t="s">
        <v>176</v>
      </c>
      <c r="C54" s="30" t="s">
        <v>106</v>
      </c>
      <c r="D54" s="29" t="s">
        <v>15</v>
      </c>
      <c r="E54" s="44">
        <v>0.97499999999999998</v>
      </c>
      <c r="F54" s="45" t="s">
        <v>157</v>
      </c>
      <c r="G54" s="29" t="s">
        <v>16</v>
      </c>
      <c r="H54" s="29" t="s">
        <v>17</v>
      </c>
      <c r="I54" s="33"/>
      <c r="J54" s="30" t="s">
        <v>24</v>
      </c>
      <c r="K54" s="61"/>
      <c r="L54" s="35"/>
      <c r="M54" s="36" t="s">
        <v>45</v>
      </c>
      <c r="N54" s="33">
        <v>250000000</v>
      </c>
      <c r="O54" s="33">
        <v>225000000</v>
      </c>
      <c r="P54" s="33">
        <v>225000000</v>
      </c>
      <c r="Q54" s="33">
        <v>225000000</v>
      </c>
      <c r="R54" s="33">
        <v>225000000</v>
      </c>
      <c r="S54" s="33">
        <v>50000000</v>
      </c>
      <c r="T54" s="33"/>
      <c r="U54" s="37"/>
      <c r="V54" s="33">
        <v>1000000000</v>
      </c>
      <c r="W54" s="33">
        <v>600000000</v>
      </c>
      <c r="X54" s="33">
        <v>292854474.32192016</v>
      </c>
      <c r="Y54" s="30" t="s">
        <v>20</v>
      </c>
      <c r="Z54" s="53" t="s">
        <v>211</v>
      </c>
      <c r="AA54" s="53" t="s">
        <v>226</v>
      </c>
      <c r="AB54" s="47" t="b">
        <v>0</v>
      </c>
      <c r="AC54" s="55">
        <v>0.03</v>
      </c>
      <c r="AD54" s="55">
        <v>0.1</v>
      </c>
      <c r="AE54" s="55">
        <v>0.4</v>
      </c>
      <c r="AF54" s="55">
        <v>0.75</v>
      </c>
      <c r="AG54" s="54">
        <v>1000</v>
      </c>
      <c r="AH54" s="56">
        <v>0.8</v>
      </c>
      <c r="AI54" s="57">
        <v>1E-3</v>
      </c>
      <c r="AJ54" s="56">
        <v>0.4</v>
      </c>
      <c r="AK54" s="58">
        <v>1.4</v>
      </c>
      <c r="AL54" s="56">
        <v>0.2</v>
      </c>
      <c r="AM54" s="56">
        <v>0.5</v>
      </c>
      <c r="AN54" s="56">
        <v>1</v>
      </c>
    </row>
    <row r="55" spans="1:40" s="2" customFormat="1" x14ac:dyDescent="0.25">
      <c r="A55" s="30" t="s">
        <v>155</v>
      </c>
      <c r="B55" s="52" t="s">
        <v>177</v>
      </c>
      <c r="C55" s="30" t="s">
        <v>102</v>
      </c>
      <c r="D55" s="29" t="s">
        <v>15</v>
      </c>
      <c r="E55" s="44">
        <v>0.95</v>
      </c>
      <c r="F55" s="45" t="s">
        <v>157</v>
      </c>
      <c r="G55" s="29" t="s">
        <v>16</v>
      </c>
      <c r="H55" s="29" t="s">
        <v>17</v>
      </c>
      <c r="I55" s="33"/>
      <c r="J55" s="30" t="s">
        <v>18</v>
      </c>
      <c r="K55" s="34"/>
      <c r="L55" s="35"/>
      <c r="M55" s="36" t="s">
        <v>19</v>
      </c>
      <c r="N55" s="33">
        <v>350000000</v>
      </c>
      <c r="O55" s="33">
        <v>350000000</v>
      </c>
      <c r="P55" s="33">
        <v>350000000</v>
      </c>
      <c r="Q55" s="33">
        <v>250000000</v>
      </c>
      <c r="R55" s="33">
        <v>250000000</v>
      </c>
      <c r="S55" s="33">
        <v>70000000</v>
      </c>
      <c r="T55" s="33"/>
      <c r="U55" s="37"/>
      <c r="V55" s="33">
        <v>800000000</v>
      </c>
      <c r="W55" s="33">
        <v>650000000</v>
      </c>
      <c r="X55" s="33">
        <v>124122112.97866376</v>
      </c>
      <c r="Y55" s="30" t="s">
        <v>20</v>
      </c>
      <c r="Z55" s="53" t="s">
        <v>211</v>
      </c>
      <c r="AA55" s="53" t="s">
        <v>226</v>
      </c>
      <c r="AB55" s="47" t="b">
        <v>0</v>
      </c>
      <c r="AC55" s="55">
        <v>0.03</v>
      </c>
      <c r="AD55" s="55">
        <v>0.1</v>
      </c>
      <c r="AE55" s="55">
        <v>0.4</v>
      </c>
      <c r="AF55" s="55">
        <v>0.75</v>
      </c>
      <c r="AG55" s="54">
        <v>1000</v>
      </c>
      <c r="AH55" s="56">
        <v>0.8</v>
      </c>
      <c r="AI55" s="57">
        <v>1E-3</v>
      </c>
      <c r="AJ55" s="56">
        <v>0.5</v>
      </c>
      <c r="AK55" s="58">
        <v>1.4</v>
      </c>
      <c r="AL55" s="56">
        <v>0.2</v>
      </c>
      <c r="AM55" s="56">
        <v>0.5</v>
      </c>
      <c r="AN55" s="56">
        <v>1</v>
      </c>
    </row>
  </sheetData>
  <sheetProtection sheet="1" objects="1" scenarios="1"/>
  <sortState xmlns:xlrd2="http://schemas.microsoft.com/office/spreadsheetml/2017/richdata2" ref="A8:AN55">
    <sortCondition ref="C8:C55"/>
  </sortState>
  <mergeCells count="1">
    <mergeCell ref="K4:L4"/>
  </mergeCells>
  <dataValidations disablePrompts="1" count="10">
    <dataValidation type="list" allowBlank="1" showInputMessage="1" showErrorMessage="1" sqref="Z8:Z15" xr:uid="{00000000-0002-0000-0000-000008000000}">
      <formula1>"STD, IRB"</formula1>
    </dataValidation>
    <dataValidation type="list" allowBlank="1" showInputMessage="1" showErrorMessage="1" sqref="J8:J55" xr:uid="{00000000-0002-0000-0000-000000000000}">
      <formula1>"Global Calculation, Global Limit &amp; Calculation by Product, Calculation &amp; Limit by Product, "</formula1>
    </dataValidation>
    <dataValidation type="list" allowBlank="1" showInputMessage="1" showErrorMessage="1" sqref="M8:M55" xr:uid="{00000000-0002-0000-0000-000001000000}">
      <formula1>"Linear, FlatToRight"</formula1>
    </dataValidation>
    <dataValidation type="list" allowBlank="1" showInputMessage="1" showErrorMessage="1" sqref="H8:H55" xr:uid="{00000000-0002-0000-0000-000002000000}">
      <formula1>"EUR, USD, GBP, CHF"</formula1>
    </dataValidation>
    <dataValidation type="list" allowBlank="1" showInputMessage="1" showErrorMessage="1" sqref="D8:D55" xr:uid="{00000000-0002-0000-0000-000003000000}">
      <formula1>"MONTE CARLO,NOTIONAL BASED"</formula1>
    </dataValidation>
    <dataValidation type="list" allowBlank="1" showInputMessage="1" showErrorMessage="1" sqref="G8:G55" xr:uid="{00000000-0002-0000-0000-000004000000}">
      <formula1>"HISTORICAL,MARKET IMPLIED"</formula1>
    </dataValidation>
    <dataValidation type="list" allowBlank="1" showInputMessage="1" showErrorMessage="1" sqref="F8:F55" xr:uid="{00000000-0002-0000-0000-000005000000}">
      <formula1>"Quantile,Shortfall"</formula1>
    </dataValidation>
    <dataValidation type="list" allowBlank="1" showInputMessage="1" showErrorMessage="1" sqref="AG8:AG55" xr:uid="{00000000-0002-0000-0000-000006000000}">
      <formula1>"10, 50, 100, 500, 1000"</formula1>
    </dataValidation>
    <dataValidation type="list" allowBlank="1" showInputMessage="1" showErrorMessage="1" sqref="AB8:AB55" xr:uid="{00000000-0002-0000-0000-000007000000}">
      <formula1>"TRUE,FALSE"</formula1>
    </dataValidation>
    <dataValidation type="list" allowBlank="1" showInputMessage="1" showErrorMessage="1" sqref="AA8:AA55" xr:uid="{00000000-0002-0000-0000-000009000000}">
      <formula1>"IMM/STD,IMM/ADV,CEM/STD"</formula1>
    </dataValidation>
  </dataValidations>
  <pageMargins left="0.7" right="0.7" top="0.75" bottom="0.75" header="0.3" footer="0.3"/>
  <pageSetup paperSize="9" scale="18" orientation="portrait" horizontalDpi="4294967295"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72" r:id="rId4" name="Button 48">
              <controlPr defaultSize="0" print="0" autoFill="0" autoPict="0" macro="[0]!Menu">
                <anchor moveWithCells="1" sizeWithCells="1">
                  <from>
                    <xdr:col>0</xdr:col>
                    <xdr:colOff>180975</xdr:colOff>
                    <xdr:row>1</xdr:row>
                    <xdr:rowOff>19050</xdr:rowOff>
                  </from>
                  <to>
                    <xdr:col>0</xdr:col>
                    <xdr:colOff>1323975</xdr:colOff>
                    <xdr:row>2</xdr:row>
                    <xdr:rowOff>114300</xdr:rowOff>
                  </to>
                </anchor>
              </controlPr>
            </control>
          </mc:Choice>
        </mc:AlternateContent>
        <mc:AlternateContent xmlns:mc="http://schemas.openxmlformats.org/markup-compatibility/2006">
          <mc:Choice Requires="x14">
            <control shapeId="1314" r:id="rId5" name="Button 290">
              <controlPr defaultSize="0" print="0" autoFill="0" autoPict="0" macro="[1]!SAISortButtonOnAction">
                <anchor moveWithCells="1" sizeWithCells="1">
                  <from>
                    <xdr:col>0</xdr:col>
                    <xdr:colOff>0</xdr:colOff>
                    <xdr:row>5</xdr:row>
                    <xdr:rowOff>0</xdr:rowOff>
                  </from>
                  <to>
                    <xdr:col>1</xdr:col>
                    <xdr:colOff>0</xdr:colOff>
                    <xdr:row>6</xdr:row>
                    <xdr:rowOff>0</xdr:rowOff>
                  </to>
                </anchor>
              </controlPr>
            </control>
          </mc:Choice>
        </mc:AlternateContent>
        <mc:AlternateContent xmlns:mc="http://schemas.openxmlformats.org/markup-compatibility/2006">
          <mc:Choice Requires="x14">
            <control shapeId="1315" r:id="rId6" name="Button 291">
              <controlPr defaultSize="0" print="0" autoFill="0" autoPict="0" macro="[1]!SAISortButtonOnAction">
                <anchor moveWithCells="1" sizeWithCells="1">
                  <from>
                    <xdr:col>1</xdr:col>
                    <xdr:colOff>0</xdr:colOff>
                    <xdr:row>5</xdr:row>
                    <xdr:rowOff>0</xdr:rowOff>
                  </from>
                  <to>
                    <xdr:col>2</xdr:col>
                    <xdr:colOff>0</xdr:colOff>
                    <xdr:row>6</xdr:row>
                    <xdr:rowOff>0</xdr:rowOff>
                  </to>
                </anchor>
              </controlPr>
            </control>
          </mc:Choice>
        </mc:AlternateContent>
        <mc:AlternateContent xmlns:mc="http://schemas.openxmlformats.org/markup-compatibility/2006">
          <mc:Choice Requires="x14">
            <control shapeId="1316" r:id="rId7" name="Button 292">
              <controlPr defaultSize="0" print="0" autoFill="0" autoPict="0" macro="[1]!SAISortButtonOnAction">
                <anchor moveWithCells="1" sizeWithCells="1">
                  <from>
                    <xdr:col>2</xdr:col>
                    <xdr:colOff>0</xdr:colOff>
                    <xdr:row>5</xdr:row>
                    <xdr:rowOff>0</xdr:rowOff>
                  </from>
                  <to>
                    <xdr:col>3</xdr:col>
                    <xdr:colOff>0</xdr:colOff>
                    <xdr:row>6</xdr:row>
                    <xdr:rowOff>0</xdr:rowOff>
                  </to>
                </anchor>
              </controlPr>
            </control>
          </mc:Choice>
        </mc:AlternateContent>
        <mc:AlternateContent xmlns:mc="http://schemas.openxmlformats.org/markup-compatibility/2006">
          <mc:Choice Requires="x14">
            <control shapeId="1317" r:id="rId8" name="Button 293">
              <controlPr defaultSize="0" print="0" autoFill="0" autoPict="0" macro="[1]!SAISortButtonOnAction">
                <anchor moveWithCells="1" sizeWithCells="1">
                  <from>
                    <xdr:col>3</xdr:col>
                    <xdr:colOff>0</xdr:colOff>
                    <xdr:row>5</xdr:row>
                    <xdr:rowOff>0</xdr:rowOff>
                  </from>
                  <to>
                    <xdr:col>4</xdr:col>
                    <xdr:colOff>0</xdr:colOff>
                    <xdr:row>6</xdr:row>
                    <xdr:rowOff>0</xdr:rowOff>
                  </to>
                </anchor>
              </controlPr>
            </control>
          </mc:Choice>
        </mc:AlternateContent>
        <mc:AlternateContent xmlns:mc="http://schemas.openxmlformats.org/markup-compatibility/2006">
          <mc:Choice Requires="x14">
            <control shapeId="1318" r:id="rId9" name="Button 294">
              <controlPr defaultSize="0" print="0" autoFill="0" autoPict="0" macro="[1]!SAISortButtonOnAction">
                <anchor moveWithCells="1" sizeWithCells="1">
                  <from>
                    <xdr:col>4</xdr:col>
                    <xdr:colOff>0</xdr:colOff>
                    <xdr:row>5</xdr:row>
                    <xdr:rowOff>0</xdr:rowOff>
                  </from>
                  <to>
                    <xdr:col>5</xdr:col>
                    <xdr:colOff>0</xdr:colOff>
                    <xdr:row>6</xdr:row>
                    <xdr:rowOff>0</xdr:rowOff>
                  </to>
                </anchor>
              </controlPr>
            </control>
          </mc:Choice>
        </mc:AlternateContent>
        <mc:AlternateContent xmlns:mc="http://schemas.openxmlformats.org/markup-compatibility/2006">
          <mc:Choice Requires="x14">
            <control shapeId="1319" r:id="rId10" name="Button 295">
              <controlPr defaultSize="0" print="0" autoFill="0" autoPict="0" macro="[1]!SAISortButtonOnAction">
                <anchor moveWithCells="1" sizeWithCells="1">
                  <from>
                    <xdr:col>5</xdr:col>
                    <xdr:colOff>0</xdr:colOff>
                    <xdr:row>5</xdr:row>
                    <xdr:rowOff>0</xdr:rowOff>
                  </from>
                  <to>
                    <xdr:col>6</xdr:col>
                    <xdr:colOff>0</xdr:colOff>
                    <xdr:row>6</xdr:row>
                    <xdr:rowOff>0</xdr:rowOff>
                  </to>
                </anchor>
              </controlPr>
            </control>
          </mc:Choice>
        </mc:AlternateContent>
        <mc:AlternateContent xmlns:mc="http://schemas.openxmlformats.org/markup-compatibility/2006">
          <mc:Choice Requires="x14">
            <control shapeId="1320" r:id="rId11" name="Button 296">
              <controlPr defaultSize="0" print="0" autoFill="0" autoPict="0" macro="[1]!SAISortButtonOnAction">
                <anchor moveWithCells="1" sizeWithCells="1">
                  <from>
                    <xdr:col>6</xdr:col>
                    <xdr:colOff>0</xdr:colOff>
                    <xdr:row>5</xdr:row>
                    <xdr:rowOff>0</xdr:rowOff>
                  </from>
                  <to>
                    <xdr:col>7</xdr:col>
                    <xdr:colOff>0</xdr:colOff>
                    <xdr:row>6</xdr:row>
                    <xdr:rowOff>0</xdr:rowOff>
                  </to>
                </anchor>
              </controlPr>
            </control>
          </mc:Choice>
        </mc:AlternateContent>
        <mc:AlternateContent xmlns:mc="http://schemas.openxmlformats.org/markup-compatibility/2006">
          <mc:Choice Requires="x14">
            <control shapeId="1321" r:id="rId12" name="Button 297">
              <controlPr defaultSize="0" print="0" autoFill="0" autoPict="0" macro="[1]!SAISortButtonOnAction">
                <anchor moveWithCells="1" sizeWithCells="1">
                  <from>
                    <xdr:col>7</xdr:col>
                    <xdr:colOff>0</xdr:colOff>
                    <xdr:row>5</xdr:row>
                    <xdr:rowOff>0</xdr:rowOff>
                  </from>
                  <to>
                    <xdr:col>8</xdr:col>
                    <xdr:colOff>0</xdr:colOff>
                    <xdr:row>6</xdr:row>
                    <xdr:rowOff>0</xdr:rowOff>
                  </to>
                </anchor>
              </controlPr>
            </control>
          </mc:Choice>
        </mc:AlternateContent>
        <mc:AlternateContent xmlns:mc="http://schemas.openxmlformats.org/markup-compatibility/2006">
          <mc:Choice Requires="x14">
            <control shapeId="1322" r:id="rId13" name="Button 298">
              <controlPr defaultSize="0" print="0" autoFill="0" autoPict="0" macro="[1]!SAISortButtonOnAction">
                <anchor moveWithCells="1" sizeWithCells="1">
                  <from>
                    <xdr:col>8</xdr:col>
                    <xdr:colOff>0</xdr:colOff>
                    <xdr:row>5</xdr:row>
                    <xdr:rowOff>0</xdr:rowOff>
                  </from>
                  <to>
                    <xdr:col>9</xdr:col>
                    <xdr:colOff>0</xdr:colOff>
                    <xdr:row>6</xdr:row>
                    <xdr:rowOff>0</xdr:rowOff>
                  </to>
                </anchor>
              </controlPr>
            </control>
          </mc:Choice>
        </mc:AlternateContent>
        <mc:AlternateContent xmlns:mc="http://schemas.openxmlformats.org/markup-compatibility/2006">
          <mc:Choice Requires="x14">
            <control shapeId="1323" r:id="rId14" name="Button 299">
              <controlPr defaultSize="0" print="0" autoFill="0" autoPict="0" macro="[1]!SAISortButtonOnAction">
                <anchor moveWithCells="1" sizeWithCells="1">
                  <from>
                    <xdr:col>9</xdr:col>
                    <xdr:colOff>0</xdr:colOff>
                    <xdr:row>5</xdr:row>
                    <xdr:rowOff>0</xdr:rowOff>
                  </from>
                  <to>
                    <xdr:col>10</xdr:col>
                    <xdr:colOff>0</xdr:colOff>
                    <xdr:row>6</xdr:row>
                    <xdr:rowOff>0</xdr:rowOff>
                  </to>
                </anchor>
              </controlPr>
            </control>
          </mc:Choice>
        </mc:AlternateContent>
        <mc:AlternateContent xmlns:mc="http://schemas.openxmlformats.org/markup-compatibility/2006">
          <mc:Choice Requires="x14">
            <control shapeId="1324" r:id="rId15" name="Button 300">
              <controlPr defaultSize="0" print="0" autoFill="0" autoPict="0" macro="[1]!SAISortButtonOnAction">
                <anchor moveWithCells="1" sizeWithCells="1">
                  <from>
                    <xdr:col>10</xdr:col>
                    <xdr:colOff>0</xdr:colOff>
                    <xdr:row>5</xdr:row>
                    <xdr:rowOff>0</xdr:rowOff>
                  </from>
                  <to>
                    <xdr:col>11</xdr:col>
                    <xdr:colOff>0</xdr:colOff>
                    <xdr:row>6</xdr:row>
                    <xdr:rowOff>0</xdr:rowOff>
                  </to>
                </anchor>
              </controlPr>
            </control>
          </mc:Choice>
        </mc:AlternateContent>
        <mc:AlternateContent xmlns:mc="http://schemas.openxmlformats.org/markup-compatibility/2006">
          <mc:Choice Requires="x14">
            <control shapeId="1325" r:id="rId16" name="Button 301">
              <controlPr defaultSize="0" print="0" autoFill="0" autoPict="0" macro="[1]!SAISortButtonOnAction">
                <anchor moveWithCells="1" sizeWithCells="1">
                  <from>
                    <xdr:col>11</xdr:col>
                    <xdr:colOff>0</xdr:colOff>
                    <xdr:row>5</xdr:row>
                    <xdr:rowOff>0</xdr:rowOff>
                  </from>
                  <to>
                    <xdr:col>12</xdr:col>
                    <xdr:colOff>0</xdr:colOff>
                    <xdr:row>6</xdr:row>
                    <xdr:rowOff>0</xdr:rowOff>
                  </to>
                </anchor>
              </controlPr>
            </control>
          </mc:Choice>
        </mc:AlternateContent>
        <mc:AlternateContent xmlns:mc="http://schemas.openxmlformats.org/markup-compatibility/2006">
          <mc:Choice Requires="x14">
            <control shapeId="1326" r:id="rId17" name="Button 302">
              <controlPr defaultSize="0" print="0" autoFill="0" autoPict="0" macro="[1]!SAISortButtonOnAction">
                <anchor moveWithCells="1" sizeWithCells="1">
                  <from>
                    <xdr:col>12</xdr:col>
                    <xdr:colOff>0</xdr:colOff>
                    <xdr:row>5</xdr:row>
                    <xdr:rowOff>0</xdr:rowOff>
                  </from>
                  <to>
                    <xdr:col>13</xdr:col>
                    <xdr:colOff>0</xdr:colOff>
                    <xdr:row>6</xdr:row>
                    <xdr:rowOff>0</xdr:rowOff>
                  </to>
                </anchor>
              </controlPr>
            </control>
          </mc:Choice>
        </mc:AlternateContent>
        <mc:AlternateContent xmlns:mc="http://schemas.openxmlformats.org/markup-compatibility/2006">
          <mc:Choice Requires="x14">
            <control shapeId="1327" r:id="rId18" name="Button 303">
              <controlPr defaultSize="0" print="0" autoFill="0" autoPict="0" macro="[1]!SAISortButtonOnAction">
                <anchor moveWithCells="1" sizeWithCells="1">
                  <from>
                    <xdr:col>13</xdr:col>
                    <xdr:colOff>0</xdr:colOff>
                    <xdr:row>5</xdr:row>
                    <xdr:rowOff>0</xdr:rowOff>
                  </from>
                  <to>
                    <xdr:col>14</xdr:col>
                    <xdr:colOff>0</xdr:colOff>
                    <xdr:row>6</xdr:row>
                    <xdr:rowOff>0</xdr:rowOff>
                  </to>
                </anchor>
              </controlPr>
            </control>
          </mc:Choice>
        </mc:AlternateContent>
        <mc:AlternateContent xmlns:mc="http://schemas.openxmlformats.org/markup-compatibility/2006">
          <mc:Choice Requires="x14">
            <control shapeId="1328" r:id="rId19" name="Button 304">
              <controlPr defaultSize="0" print="0" autoFill="0" autoPict="0" macro="[1]!SAISortButtonOnAction">
                <anchor moveWithCells="1" sizeWithCells="1">
                  <from>
                    <xdr:col>14</xdr:col>
                    <xdr:colOff>0</xdr:colOff>
                    <xdr:row>5</xdr:row>
                    <xdr:rowOff>0</xdr:rowOff>
                  </from>
                  <to>
                    <xdr:col>15</xdr:col>
                    <xdr:colOff>0</xdr:colOff>
                    <xdr:row>6</xdr:row>
                    <xdr:rowOff>0</xdr:rowOff>
                  </to>
                </anchor>
              </controlPr>
            </control>
          </mc:Choice>
        </mc:AlternateContent>
        <mc:AlternateContent xmlns:mc="http://schemas.openxmlformats.org/markup-compatibility/2006">
          <mc:Choice Requires="x14">
            <control shapeId="1329" r:id="rId20" name="Button 305">
              <controlPr defaultSize="0" print="0" autoFill="0" autoPict="0" macro="[1]!SAISortButtonOnAction">
                <anchor moveWithCells="1" sizeWithCells="1">
                  <from>
                    <xdr:col>15</xdr:col>
                    <xdr:colOff>0</xdr:colOff>
                    <xdr:row>5</xdr:row>
                    <xdr:rowOff>0</xdr:rowOff>
                  </from>
                  <to>
                    <xdr:col>16</xdr:col>
                    <xdr:colOff>0</xdr:colOff>
                    <xdr:row>6</xdr:row>
                    <xdr:rowOff>0</xdr:rowOff>
                  </to>
                </anchor>
              </controlPr>
            </control>
          </mc:Choice>
        </mc:AlternateContent>
        <mc:AlternateContent xmlns:mc="http://schemas.openxmlformats.org/markup-compatibility/2006">
          <mc:Choice Requires="x14">
            <control shapeId="1330" r:id="rId21" name="Button 306">
              <controlPr defaultSize="0" print="0" autoFill="0" autoPict="0" macro="[1]!SAISortButtonOnAction">
                <anchor moveWithCells="1" sizeWithCells="1">
                  <from>
                    <xdr:col>16</xdr:col>
                    <xdr:colOff>0</xdr:colOff>
                    <xdr:row>5</xdr:row>
                    <xdr:rowOff>0</xdr:rowOff>
                  </from>
                  <to>
                    <xdr:col>17</xdr:col>
                    <xdr:colOff>0</xdr:colOff>
                    <xdr:row>6</xdr:row>
                    <xdr:rowOff>0</xdr:rowOff>
                  </to>
                </anchor>
              </controlPr>
            </control>
          </mc:Choice>
        </mc:AlternateContent>
        <mc:AlternateContent xmlns:mc="http://schemas.openxmlformats.org/markup-compatibility/2006">
          <mc:Choice Requires="x14">
            <control shapeId="1331" r:id="rId22" name="Button 307">
              <controlPr defaultSize="0" print="0" autoFill="0" autoPict="0" macro="[1]!SAISortButtonOnAction">
                <anchor moveWithCells="1" sizeWithCells="1">
                  <from>
                    <xdr:col>17</xdr:col>
                    <xdr:colOff>0</xdr:colOff>
                    <xdr:row>5</xdr:row>
                    <xdr:rowOff>0</xdr:rowOff>
                  </from>
                  <to>
                    <xdr:col>18</xdr:col>
                    <xdr:colOff>0</xdr:colOff>
                    <xdr:row>6</xdr:row>
                    <xdr:rowOff>0</xdr:rowOff>
                  </to>
                </anchor>
              </controlPr>
            </control>
          </mc:Choice>
        </mc:AlternateContent>
        <mc:AlternateContent xmlns:mc="http://schemas.openxmlformats.org/markup-compatibility/2006">
          <mc:Choice Requires="x14">
            <control shapeId="1332" r:id="rId23" name="Button 308">
              <controlPr defaultSize="0" print="0" autoFill="0" autoPict="0" macro="[1]!SAISortButtonOnAction">
                <anchor moveWithCells="1" sizeWithCells="1">
                  <from>
                    <xdr:col>18</xdr:col>
                    <xdr:colOff>0</xdr:colOff>
                    <xdr:row>5</xdr:row>
                    <xdr:rowOff>0</xdr:rowOff>
                  </from>
                  <to>
                    <xdr:col>19</xdr:col>
                    <xdr:colOff>0</xdr:colOff>
                    <xdr:row>6</xdr:row>
                    <xdr:rowOff>0</xdr:rowOff>
                  </to>
                </anchor>
              </controlPr>
            </control>
          </mc:Choice>
        </mc:AlternateContent>
        <mc:AlternateContent xmlns:mc="http://schemas.openxmlformats.org/markup-compatibility/2006">
          <mc:Choice Requires="x14">
            <control shapeId="1333" r:id="rId24" name="Button 309">
              <controlPr defaultSize="0" print="0" autoFill="0" autoPict="0" macro="[1]!SAISortButtonOnAction">
                <anchor moveWithCells="1" sizeWithCells="1">
                  <from>
                    <xdr:col>19</xdr:col>
                    <xdr:colOff>0</xdr:colOff>
                    <xdr:row>5</xdr:row>
                    <xdr:rowOff>0</xdr:rowOff>
                  </from>
                  <to>
                    <xdr:col>20</xdr:col>
                    <xdr:colOff>0</xdr:colOff>
                    <xdr:row>6</xdr:row>
                    <xdr:rowOff>0</xdr:rowOff>
                  </to>
                </anchor>
              </controlPr>
            </control>
          </mc:Choice>
        </mc:AlternateContent>
        <mc:AlternateContent xmlns:mc="http://schemas.openxmlformats.org/markup-compatibility/2006">
          <mc:Choice Requires="x14">
            <control shapeId="1334" r:id="rId25" name="Button 310">
              <controlPr defaultSize="0" print="0" autoFill="0" autoPict="0" macro="[1]!SAISortButtonOnAction">
                <anchor moveWithCells="1" sizeWithCells="1">
                  <from>
                    <xdr:col>20</xdr:col>
                    <xdr:colOff>0</xdr:colOff>
                    <xdr:row>5</xdr:row>
                    <xdr:rowOff>0</xdr:rowOff>
                  </from>
                  <to>
                    <xdr:col>21</xdr:col>
                    <xdr:colOff>0</xdr:colOff>
                    <xdr:row>6</xdr:row>
                    <xdr:rowOff>0</xdr:rowOff>
                  </to>
                </anchor>
              </controlPr>
            </control>
          </mc:Choice>
        </mc:AlternateContent>
        <mc:AlternateContent xmlns:mc="http://schemas.openxmlformats.org/markup-compatibility/2006">
          <mc:Choice Requires="x14">
            <control shapeId="1335" r:id="rId26" name="Button 311">
              <controlPr defaultSize="0" print="0" autoFill="0" autoPict="0" macro="[1]!SAISortButtonOnAction">
                <anchor moveWithCells="1" sizeWithCells="1">
                  <from>
                    <xdr:col>21</xdr:col>
                    <xdr:colOff>0</xdr:colOff>
                    <xdr:row>5</xdr:row>
                    <xdr:rowOff>0</xdr:rowOff>
                  </from>
                  <to>
                    <xdr:col>22</xdr:col>
                    <xdr:colOff>0</xdr:colOff>
                    <xdr:row>6</xdr:row>
                    <xdr:rowOff>0</xdr:rowOff>
                  </to>
                </anchor>
              </controlPr>
            </control>
          </mc:Choice>
        </mc:AlternateContent>
        <mc:AlternateContent xmlns:mc="http://schemas.openxmlformats.org/markup-compatibility/2006">
          <mc:Choice Requires="x14">
            <control shapeId="1336" r:id="rId27" name="Button 312">
              <controlPr defaultSize="0" print="0" autoFill="0" autoPict="0" macro="[1]!SAISortButtonOnAction">
                <anchor moveWithCells="1" sizeWithCells="1">
                  <from>
                    <xdr:col>22</xdr:col>
                    <xdr:colOff>0</xdr:colOff>
                    <xdr:row>5</xdr:row>
                    <xdr:rowOff>0</xdr:rowOff>
                  </from>
                  <to>
                    <xdr:col>23</xdr:col>
                    <xdr:colOff>0</xdr:colOff>
                    <xdr:row>6</xdr:row>
                    <xdr:rowOff>0</xdr:rowOff>
                  </to>
                </anchor>
              </controlPr>
            </control>
          </mc:Choice>
        </mc:AlternateContent>
        <mc:AlternateContent xmlns:mc="http://schemas.openxmlformats.org/markup-compatibility/2006">
          <mc:Choice Requires="x14">
            <control shapeId="1337" r:id="rId28" name="Button 313">
              <controlPr defaultSize="0" print="0" autoFill="0" autoPict="0" macro="[1]!SAISortButtonOnAction">
                <anchor moveWithCells="1" sizeWithCells="1">
                  <from>
                    <xdr:col>23</xdr:col>
                    <xdr:colOff>0</xdr:colOff>
                    <xdr:row>5</xdr:row>
                    <xdr:rowOff>0</xdr:rowOff>
                  </from>
                  <to>
                    <xdr:col>24</xdr:col>
                    <xdr:colOff>0</xdr:colOff>
                    <xdr:row>6</xdr:row>
                    <xdr:rowOff>0</xdr:rowOff>
                  </to>
                </anchor>
              </controlPr>
            </control>
          </mc:Choice>
        </mc:AlternateContent>
        <mc:AlternateContent xmlns:mc="http://schemas.openxmlformats.org/markup-compatibility/2006">
          <mc:Choice Requires="x14">
            <control shapeId="1338" r:id="rId29" name="Button 314">
              <controlPr defaultSize="0" print="0" autoFill="0" autoPict="0" macro="[1]!SAISortButtonOnAction">
                <anchor moveWithCells="1" sizeWithCells="1">
                  <from>
                    <xdr:col>24</xdr:col>
                    <xdr:colOff>0</xdr:colOff>
                    <xdr:row>5</xdr:row>
                    <xdr:rowOff>0</xdr:rowOff>
                  </from>
                  <to>
                    <xdr:col>25</xdr:col>
                    <xdr:colOff>0</xdr:colOff>
                    <xdr:row>6</xdr:row>
                    <xdr:rowOff>0</xdr:rowOff>
                  </to>
                </anchor>
              </controlPr>
            </control>
          </mc:Choice>
        </mc:AlternateContent>
        <mc:AlternateContent xmlns:mc="http://schemas.openxmlformats.org/markup-compatibility/2006">
          <mc:Choice Requires="x14">
            <control shapeId="1339" r:id="rId30" name="Button 315">
              <controlPr defaultSize="0" print="0" autoFill="0" autoPict="0" macro="[1]!SAISortButtonOnAction">
                <anchor moveWithCells="1" sizeWithCells="1">
                  <from>
                    <xdr:col>25</xdr:col>
                    <xdr:colOff>0</xdr:colOff>
                    <xdr:row>5</xdr:row>
                    <xdr:rowOff>0</xdr:rowOff>
                  </from>
                  <to>
                    <xdr:col>26</xdr:col>
                    <xdr:colOff>0</xdr:colOff>
                    <xdr:row>6</xdr:row>
                    <xdr:rowOff>0</xdr:rowOff>
                  </to>
                </anchor>
              </controlPr>
            </control>
          </mc:Choice>
        </mc:AlternateContent>
        <mc:AlternateContent xmlns:mc="http://schemas.openxmlformats.org/markup-compatibility/2006">
          <mc:Choice Requires="x14">
            <control shapeId="1340" r:id="rId31" name="Button 316">
              <controlPr defaultSize="0" print="0" autoFill="0" autoPict="0" macro="[1]!SAISortButtonOnAction">
                <anchor moveWithCells="1" sizeWithCells="1">
                  <from>
                    <xdr:col>26</xdr:col>
                    <xdr:colOff>0</xdr:colOff>
                    <xdr:row>5</xdr:row>
                    <xdr:rowOff>0</xdr:rowOff>
                  </from>
                  <to>
                    <xdr:col>27</xdr:col>
                    <xdr:colOff>0</xdr:colOff>
                    <xdr:row>6</xdr:row>
                    <xdr:rowOff>0</xdr:rowOff>
                  </to>
                </anchor>
              </controlPr>
            </control>
          </mc:Choice>
        </mc:AlternateContent>
        <mc:AlternateContent xmlns:mc="http://schemas.openxmlformats.org/markup-compatibility/2006">
          <mc:Choice Requires="x14">
            <control shapeId="1341" r:id="rId32" name="Button 317">
              <controlPr defaultSize="0" print="0" autoFill="0" autoPict="0" macro="[1]!SAISortButtonOnAction">
                <anchor moveWithCells="1" sizeWithCells="1">
                  <from>
                    <xdr:col>27</xdr:col>
                    <xdr:colOff>0</xdr:colOff>
                    <xdr:row>5</xdr:row>
                    <xdr:rowOff>0</xdr:rowOff>
                  </from>
                  <to>
                    <xdr:col>28</xdr:col>
                    <xdr:colOff>0</xdr:colOff>
                    <xdr:row>6</xdr:row>
                    <xdr:rowOff>0</xdr:rowOff>
                  </to>
                </anchor>
              </controlPr>
            </control>
          </mc:Choice>
        </mc:AlternateContent>
        <mc:AlternateContent xmlns:mc="http://schemas.openxmlformats.org/markup-compatibility/2006">
          <mc:Choice Requires="x14">
            <control shapeId="1342" r:id="rId33" name="Button 318">
              <controlPr defaultSize="0" print="0" autoFill="0" autoPict="0" macro="[1]!SAISortButtonOnAction">
                <anchor moveWithCells="1" sizeWithCells="1">
                  <from>
                    <xdr:col>28</xdr:col>
                    <xdr:colOff>0</xdr:colOff>
                    <xdr:row>5</xdr:row>
                    <xdr:rowOff>0</xdr:rowOff>
                  </from>
                  <to>
                    <xdr:col>29</xdr:col>
                    <xdr:colOff>0</xdr:colOff>
                    <xdr:row>6</xdr:row>
                    <xdr:rowOff>0</xdr:rowOff>
                  </to>
                </anchor>
              </controlPr>
            </control>
          </mc:Choice>
        </mc:AlternateContent>
        <mc:AlternateContent xmlns:mc="http://schemas.openxmlformats.org/markup-compatibility/2006">
          <mc:Choice Requires="x14">
            <control shapeId="1343" r:id="rId34" name="Button 319">
              <controlPr defaultSize="0" print="0" autoFill="0" autoPict="0" macro="[1]!SAISortButtonOnAction">
                <anchor moveWithCells="1" sizeWithCells="1">
                  <from>
                    <xdr:col>29</xdr:col>
                    <xdr:colOff>0</xdr:colOff>
                    <xdr:row>5</xdr:row>
                    <xdr:rowOff>0</xdr:rowOff>
                  </from>
                  <to>
                    <xdr:col>30</xdr:col>
                    <xdr:colOff>0</xdr:colOff>
                    <xdr:row>6</xdr:row>
                    <xdr:rowOff>0</xdr:rowOff>
                  </to>
                </anchor>
              </controlPr>
            </control>
          </mc:Choice>
        </mc:AlternateContent>
        <mc:AlternateContent xmlns:mc="http://schemas.openxmlformats.org/markup-compatibility/2006">
          <mc:Choice Requires="x14">
            <control shapeId="1344" r:id="rId35" name="Button 320">
              <controlPr defaultSize="0" print="0" autoFill="0" autoPict="0" macro="[1]!SAISortButtonOnAction">
                <anchor moveWithCells="1" sizeWithCells="1">
                  <from>
                    <xdr:col>30</xdr:col>
                    <xdr:colOff>0</xdr:colOff>
                    <xdr:row>5</xdr:row>
                    <xdr:rowOff>0</xdr:rowOff>
                  </from>
                  <to>
                    <xdr:col>31</xdr:col>
                    <xdr:colOff>0</xdr:colOff>
                    <xdr:row>6</xdr:row>
                    <xdr:rowOff>0</xdr:rowOff>
                  </to>
                </anchor>
              </controlPr>
            </control>
          </mc:Choice>
        </mc:AlternateContent>
        <mc:AlternateContent xmlns:mc="http://schemas.openxmlformats.org/markup-compatibility/2006">
          <mc:Choice Requires="x14">
            <control shapeId="1345" r:id="rId36" name="Button 321">
              <controlPr defaultSize="0" print="0" autoFill="0" autoPict="0" macro="[1]!SAISortButtonOnAction">
                <anchor moveWithCells="1" sizeWithCells="1">
                  <from>
                    <xdr:col>31</xdr:col>
                    <xdr:colOff>0</xdr:colOff>
                    <xdr:row>5</xdr:row>
                    <xdr:rowOff>0</xdr:rowOff>
                  </from>
                  <to>
                    <xdr:col>32</xdr:col>
                    <xdr:colOff>0</xdr:colOff>
                    <xdr:row>6</xdr:row>
                    <xdr:rowOff>0</xdr:rowOff>
                  </to>
                </anchor>
              </controlPr>
            </control>
          </mc:Choice>
        </mc:AlternateContent>
        <mc:AlternateContent xmlns:mc="http://schemas.openxmlformats.org/markup-compatibility/2006">
          <mc:Choice Requires="x14">
            <control shapeId="1346" r:id="rId37" name="Button 322">
              <controlPr defaultSize="0" print="0" autoFill="0" autoPict="0" macro="[1]!SAISortButtonOnAction">
                <anchor moveWithCells="1" sizeWithCells="1">
                  <from>
                    <xdr:col>32</xdr:col>
                    <xdr:colOff>0</xdr:colOff>
                    <xdr:row>5</xdr:row>
                    <xdr:rowOff>0</xdr:rowOff>
                  </from>
                  <to>
                    <xdr:col>33</xdr:col>
                    <xdr:colOff>0</xdr:colOff>
                    <xdr:row>6</xdr:row>
                    <xdr:rowOff>0</xdr:rowOff>
                  </to>
                </anchor>
              </controlPr>
            </control>
          </mc:Choice>
        </mc:AlternateContent>
        <mc:AlternateContent xmlns:mc="http://schemas.openxmlformats.org/markup-compatibility/2006">
          <mc:Choice Requires="x14">
            <control shapeId="1347" r:id="rId38" name="Button 323">
              <controlPr defaultSize="0" print="0" autoFill="0" autoPict="0" macro="[1]!SAISortButtonOnAction">
                <anchor moveWithCells="1" sizeWithCells="1">
                  <from>
                    <xdr:col>33</xdr:col>
                    <xdr:colOff>0</xdr:colOff>
                    <xdr:row>5</xdr:row>
                    <xdr:rowOff>0</xdr:rowOff>
                  </from>
                  <to>
                    <xdr:col>34</xdr:col>
                    <xdr:colOff>0</xdr:colOff>
                    <xdr:row>6</xdr:row>
                    <xdr:rowOff>0</xdr:rowOff>
                  </to>
                </anchor>
              </controlPr>
            </control>
          </mc:Choice>
        </mc:AlternateContent>
        <mc:AlternateContent xmlns:mc="http://schemas.openxmlformats.org/markup-compatibility/2006">
          <mc:Choice Requires="x14">
            <control shapeId="1348" r:id="rId39" name="Button 324">
              <controlPr defaultSize="0" print="0" autoFill="0" autoPict="0" macro="[1]!SAISortButtonOnAction">
                <anchor moveWithCells="1" sizeWithCells="1">
                  <from>
                    <xdr:col>34</xdr:col>
                    <xdr:colOff>0</xdr:colOff>
                    <xdr:row>5</xdr:row>
                    <xdr:rowOff>0</xdr:rowOff>
                  </from>
                  <to>
                    <xdr:col>35</xdr:col>
                    <xdr:colOff>0</xdr:colOff>
                    <xdr:row>6</xdr:row>
                    <xdr:rowOff>0</xdr:rowOff>
                  </to>
                </anchor>
              </controlPr>
            </control>
          </mc:Choice>
        </mc:AlternateContent>
        <mc:AlternateContent xmlns:mc="http://schemas.openxmlformats.org/markup-compatibility/2006">
          <mc:Choice Requires="x14">
            <control shapeId="1349" r:id="rId40" name="Button 325">
              <controlPr defaultSize="0" print="0" autoFill="0" autoPict="0" macro="[1]!SAISortButtonOnAction">
                <anchor moveWithCells="1" sizeWithCells="1">
                  <from>
                    <xdr:col>35</xdr:col>
                    <xdr:colOff>0</xdr:colOff>
                    <xdr:row>5</xdr:row>
                    <xdr:rowOff>0</xdr:rowOff>
                  </from>
                  <to>
                    <xdr:col>36</xdr:col>
                    <xdr:colOff>0</xdr:colOff>
                    <xdr:row>6</xdr:row>
                    <xdr:rowOff>0</xdr:rowOff>
                  </to>
                </anchor>
              </controlPr>
            </control>
          </mc:Choice>
        </mc:AlternateContent>
        <mc:AlternateContent xmlns:mc="http://schemas.openxmlformats.org/markup-compatibility/2006">
          <mc:Choice Requires="x14">
            <control shapeId="1350" r:id="rId41" name="Button 326">
              <controlPr defaultSize="0" print="0" autoFill="0" autoPict="0" macro="[1]!SAISortButtonOnAction">
                <anchor moveWithCells="1" sizeWithCells="1">
                  <from>
                    <xdr:col>36</xdr:col>
                    <xdr:colOff>0</xdr:colOff>
                    <xdr:row>5</xdr:row>
                    <xdr:rowOff>0</xdr:rowOff>
                  </from>
                  <to>
                    <xdr:col>37</xdr:col>
                    <xdr:colOff>0</xdr:colOff>
                    <xdr:row>6</xdr:row>
                    <xdr:rowOff>0</xdr:rowOff>
                  </to>
                </anchor>
              </controlPr>
            </control>
          </mc:Choice>
        </mc:AlternateContent>
        <mc:AlternateContent xmlns:mc="http://schemas.openxmlformats.org/markup-compatibility/2006">
          <mc:Choice Requires="x14">
            <control shapeId="1351" r:id="rId42" name="Button 327">
              <controlPr defaultSize="0" print="0" autoFill="0" autoPict="0" macro="[1]!SAISortButtonOnAction">
                <anchor moveWithCells="1" sizeWithCells="1">
                  <from>
                    <xdr:col>37</xdr:col>
                    <xdr:colOff>0</xdr:colOff>
                    <xdr:row>5</xdr:row>
                    <xdr:rowOff>0</xdr:rowOff>
                  </from>
                  <to>
                    <xdr:col>38</xdr:col>
                    <xdr:colOff>0</xdr:colOff>
                    <xdr:row>6</xdr:row>
                    <xdr:rowOff>0</xdr:rowOff>
                  </to>
                </anchor>
              </controlPr>
            </control>
          </mc:Choice>
        </mc:AlternateContent>
        <mc:AlternateContent xmlns:mc="http://schemas.openxmlformats.org/markup-compatibility/2006">
          <mc:Choice Requires="x14">
            <control shapeId="1352" r:id="rId43" name="Button 328">
              <controlPr defaultSize="0" print="0" autoFill="0" autoPict="0" macro="[1]!SAISortButtonOnAction">
                <anchor moveWithCells="1" sizeWithCells="1">
                  <from>
                    <xdr:col>38</xdr:col>
                    <xdr:colOff>0</xdr:colOff>
                    <xdr:row>5</xdr:row>
                    <xdr:rowOff>0</xdr:rowOff>
                  </from>
                  <to>
                    <xdr:col>39</xdr:col>
                    <xdr:colOff>0</xdr:colOff>
                    <xdr:row>6</xdr:row>
                    <xdr:rowOff>0</xdr:rowOff>
                  </to>
                </anchor>
              </controlPr>
            </control>
          </mc:Choice>
        </mc:AlternateContent>
        <mc:AlternateContent xmlns:mc="http://schemas.openxmlformats.org/markup-compatibility/2006">
          <mc:Choice Requires="x14">
            <control shapeId="1353" r:id="rId44" name="Button 329">
              <controlPr defaultSize="0" print="0" autoFill="0" autoPict="0" macro="[1]!SAISortButtonOnAction">
                <anchor moveWithCells="1" sizeWithCells="1">
                  <from>
                    <xdr:col>39</xdr:col>
                    <xdr:colOff>0</xdr:colOff>
                    <xdr:row>5</xdr:row>
                    <xdr:rowOff>0</xdr:rowOff>
                  </from>
                  <to>
                    <xdr:col>40</xdr:col>
                    <xdr:colOff>0</xdr:colOff>
                    <xdr:row>6</xdr:row>
                    <xdr:rowOff>0</xdr:rowOff>
                  </to>
                </anchor>
              </controlPr>
            </control>
          </mc:Choice>
        </mc:AlternateContent>
      </controls>
    </mc:Choice>
  </mc:AlternateContent>
  <tableParts count="1">
    <tablePart r:id="rId4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Comments"/>
  <dimension ref="B4:G44"/>
  <sheetViews>
    <sheetView showGridLines="0" showRowColHeaders="0" workbookViewId="0"/>
  </sheetViews>
  <sheetFormatPr defaultRowHeight="15" x14ac:dyDescent="0.25"/>
  <cols>
    <col min="1" max="1" width="2.7109375" customWidth="1"/>
    <col min="2" max="2" width="11.42578125" bestFit="1" customWidth="1"/>
    <col min="3" max="3" width="31" bestFit="1" customWidth="1"/>
    <col min="4" max="4" width="11.7109375" bestFit="1" customWidth="1"/>
    <col min="5" max="5" width="4.85546875" bestFit="1" customWidth="1"/>
    <col min="6" max="6" width="7.85546875" bestFit="1" customWidth="1"/>
  </cols>
  <sheetData>
    <row r="4" spans="2:7" x14ac:dyDescent="0.25">
      <c r="B4" s="28" t="s">
        <v>263</v>
      </c>
      <c r="C4" s="28" t="s">
        <v>264</v>
      </c>
      <c r="D4" s="28" t="s">
        <v>265</v>
      </c>
      <c r="E4" s="28" t="s">
        <v>266</v>
      </c>
      <c r="F4" s="28" t="s">
        <v>267</v>
      </c>
      <c r="G4" s="28" t="s">
        <v>167</v>
      </c>
    </row>
    <row r="5" spans="2:7" x14ac:dyDescent="0.25">
      <c r="B5" t="s">
        <v>269</v>
      </c>
      <c r="C5" t="s">
        <v>115</v>
      </c>
      <c r="D5" t="s">
        <v>268</v>
      </c>
      <c r="E5">
        <v>1</v>
      </c>
      <c r="F5">
        <v>1</v>
      </c>
      <c r="G5" t="s">
        <v>229</v>
      </c>
    </row>
    <row r="6" spans="2:7" x14ac:dyDescent="0.25">
      <c r="B6" t="s">
        <v>269</v>
      </c>
      <c r="C6" t="s">
        <v>113</v>
      </c>
      <c r="D6" t="s">
        <v>268</v>
      </c>
      <c r="E6">
        <v>1</v>
      </c>
      <c r="F6">
        <v>2</v>
      </c>
      <c r="G6" t="s">
        <v>228</v>
      </c>
    </row>
    <row r="7" spans="2:7" x14ac:dyDescent="0.25">
      <c r="B7" t="s">
        <v>269</v>
      </c>
      <c r="C7" t="s">
        <v>112</v>
      </c>
      <c r="D7" t="s">
        <v>268</v>
      </c>
      <c r="E7">
        <v>1</v>
      </c>
      <c r="F7">
        <v>3</v>
      </c>
      <c r="G7" s="26" t="s">
        <v>270</v>
      </c>
    </row>
    <row r="8" spans="2:7" x14ac:dyDescent="0.25">
      <c r="B8" t="s">
        <v>269</v>
      </c>
      <c r="C8" t="s">
        <v>114</v>
      </c>
      <c r="D8" t="s">
        <v>268</v>
      </c>
      <c r="E8">
        <v>1</v>
      </c>
      <c r="F8">
        <v>4</v>
      </c>
      <c r="G8" t="s">
        <v>230</v>
      </c>
    </row>
    <row r="9" spans="2:7" x14ac:dyDescent="0.25">
      <c r="B9" t="s">
        <v>269</v>
      </c>
      <c r="C9" t="s">
        <v>0</v>
      </c>
      <c r="D9" t="s">
        <v>268</v>
      </c>
      <c r="E9">
        <v>1</v>
      </c>
      <c r="F9">
        <v>5</v>
      </c>
      <c r="G9" t="s">
        <v>231</v>
      </c>
    </row>
    <row r="10" spans="2:7" x14ac:dyDescent="0.25">
      <c r="B10" t="s">
        <v>269</v>
      </c>
      <c r="C10" t="s">
        <v>156</v>
      </c>
      <c r="D10" t="s">
        <v>268</v>
      </c>
      <c r="E10">
        <v>1</v>
      </c>
      <c r="F10">
        <v>6</v>
      </c>
      <c r="G10" s="26" t="s">
        <v>272</v>
      </c>
    </row>
    <row r="11" spans="2:7" x14ac:dyDescent="0.25">
      <c r="B11" t="s">
        <v>269</v>
      </c>
      <c r="C11" t="s">
        <v>1</v>
      </c>
      <c r="D11" t="s">
        <v>268</v>
      </c>
      <c r="E11">
        <v>1</v>
      </c>
      <c r="F11">
        <v>7</v>
      </c>
      <c r="G11" t="s">
        <v>232</v>
      </c>
    </row>
    <row r="12" spans="2:7" x14ac:dyDescent="0.25">
      <c r="B12" t="s">
        <v>269</v>
      </c>
      <c r="C12" t="s">
        <v>2</v>
      </c>
      <c r="D12" t="s">
        <v>268</v>
      </c>
      <c r="E12">
        <v>1</v>
      </c>
      <c r="F12">
        <v>8</v>
      </c>
      <c r="G12" t="s">
        <v>233</v>
      </c>
    </row>
    <row r="13" spans="2:7" x14ac:dyDescent="0.25">
      <c r="B13" t="s">
        <v>269</v>
      </c>
      <c r="C13" t="s">
        <v>111</v>
      </c>
      <c r="D13" t="s">
        <v>268</v>
      </c>
      <c r="E13">
        <v>1</v>
      </c>
      <c r="F13">
        <v>9</v>
      </c>
      <c r="G13" s="26" t="s">
        <v>234</v>
      </c>
    </row>
    <row r="14" spans="2:7" x14ac:dyDescent="0.25">
      <c r="B14" t="s">
        <v>269</v>
      </c>
      <c r="C14" t="s">
        <v>3</v>
      </c>
      <c r="D14" t="s">
        <v>268</v>
      </c>
      <c r="E14">
        <v>1</v>
      </c>
      <c r="F14">
        <v>10</v>
      </c>
      <c r="G14" t="s">
        <v>235</v>
      </c>
    </row>
    <row r="15" spans="2:7" x14ac:dyDescent="0.25">
      <c r="B15" t="s">
        <v>269</v>
      </c>
      <c r="C15" t="s">
        <v>183</v>
      </c>
      <c r="D15" t="s">
        <v>268</v>
      </c>
      <c r="E15">
        <v>1</v>
      </c>
      <c r="F15">
        <v>11</v>
      </c>
      <c r="G15" s="26" t="s">
        <v>236</v>
      </c>
    </row>
    <row r="16" spans="2:7" x14ac:dyDescent="0.25">
      <c r="B16" t="s">
        <v>269</v>
      </c>
      <c r="C16" t="s">
        <v>178</v>
      </c>
      <c r="D16" t="s">
        <v>268</v>
      </c>
      <c r="E16">
        <v>1</v>
      </c>
      <c r="F16">
        <v>12</v>
      </c>
      <c r="G16" s="26" t="s">
        <v>237</v>
      </c>
    </row>
    <row r="17" spans="2:7" x14ac:dyDescent="0.25">
      <c r="B17" t="s">
        <v>269</v>
      </c>
      <c r="C17" t="s">
        <v>159</v>
      </c>
      <c r="D17" t="s">
        <v>268</v>
      </c>
      <c r="E17">
        <v>1</v>
      </c>
      <c r="F17">
        <v>13</v>
      </c>
      <c r="G17" t="s">
        <v>238</v>
      </c>
    </row>
    <row r="18" spans="2:7" x14ac:dyDescent="0.25">
      <c r="B18" t="s">
        <v>269</v>
      </c>
      <c r="C18" t="s">
        <v>4</v>
      </c>
      <c r="D18" t="s">
        <v>268</v>
      </c>
      <c r="E18">
        <v>1</v>
      </c>
      <c r="F18">
        <v>14</v>
      </c>
      <c r="G18" s="27" t="s">
        <v>239</v>
      </c>
    </row>
    <row r="19" spans="2:7" x14ac:dyDescent="0.25">
      <c r="B19" t="s">
        <v>269</v>
      </c>
      <c r="C19" t="s">
        <v>5</v>
      </c>
      <c r="D19" t="s">
        <v>268</v>
      </c>
      <c r="E19">
        <v>1</v>
      </c>
      <c r="F19">
        <v>15</v>
      </c>
      <c r="G19" s="27" t="s">
        <v>240</v>
      </c>
    </row>
    <row r="20" spans="2:7" x14ac:dyDescent="0.25">
      <c r="B20" t="s">
        <v>269</v>
      </c>
      <c r="C20" t="s">
        <v>6</v>
      </c>
      <c r="D20" t="s">
        <v>268</v>
      </c>
      <c r="E20">
        <v>1</v>
      </c>
      <c r="F20">
        <v>16</v>
      </c>
      <c r="G20" s="27" t="s">
        <v>241</v>
      </c>
    </row>
    <row r="21" spans="2:7" x14ac:dyDescent="0.25">
      <c r="B21" t="s">
        <v>269</v>
      </c>
      <c r="C21" t="s">
        <v>7</v>
      </c>
      <c r="D21" t="s">
        <v>268</v>
      </c>
      <c r="E21">
        <v>1</v>
      </c>
      <c r="F21">
        <v>17</v>
      </c>
      <c r="G21" s="27" t="s">
        <v>242</v>
      </c>
    </row>
    <row r="22" spans="2:7" x14ac:dyDescent="0.25">
      <c r="B22" t="s">
        <v>269</v>
      </c>
      <c r="C22" t="s">
        <v>8</v>
      </c>
      <c r="D22" t="s">
        <v>268</v>
      </c>
      <c r="E22">
        <v>1</v>
      </c>
      <c r="F22">
        <v>18</v>
      </c>
      <c r="G22" s="27" t="s">
        <v>243</v>
      </c>
    </row>
    <row r="23" spans="2:7" x14ac:dyDescent="0.25">
      <c r="B23" t="s">
        <v>269</v>
      </c>
      <c r="C23" t="s">
        <v>9</v>
      </c>
      <c r="D23" t="s">
        <v>268</v>
      </c>
      <c r="E23">
        <v>1</v>
      </c>
      <c r="F23">
        <v>19</v>
      </c>
      <c r="G23" s="27" t="s">
        <v>244</v>
      </c>
    </row>
    <row r="24" spans="2:7" x14ac:dyDescent="0.25">
      <c r="B24" t="s">
        <v>269</v>
      </c>
      <c r="C24" t="s">
        <v>10</v>
      </c>
      <c r="D24" t="s">
        <v>268</v>
      </c>
      <c r="E24">
        <v>1</v>
      </c>
      <c r="F24">
        <v>20</v>
      </c>
      <c r="G24" s="27" t="s">
        <v>245</v>
      </c>
    </row>
    <row r="25" spans="2:7" x14ac:dyDescent="0.25">
      <c r="B25" t="s">
        <v>269</v>
      </c>
      <c r="C25" t="s">
        <v>11</v>
      </c>
      <c r="D25" t="s">
        <v>268</v>
      </c>
      <c r="E25">
        <v>1</v>
      </c>
      <c r="F25">
        <v>21</v>
      </c>
      <c r="G25" s="27" t="s">
        <v>246</v>
      </c>
    </row>
    <row r="26" spans="2:7" x14ac:dyDescent="0.25">
      <c r="B26" t="s">
        <v>269</v>
      </c>
      <c r="C26" t="s">
        <v>160</v>
      </c>
      <c r="D26" t="s">
        <v>268</v>
      </c>
      <c r="E26">
        <v>1</v>
      </c>
      <c r="F26">
        <v>22</v>
      </c>
      <c r="G26" s="27" t="s">
        <v>247</v>
      </c>
    </row>
    <row r="27" spans="2:7" x14ac:dyDescent="0.25">
      <c r="B27" t="s">
        <v>269</v>
      </c>
      <c r="C27" t="s">
        <v>161</v>
      </c>
      <c r="D27" t="s">
        <v>268</v>
      </c>
      <c r="E27">
        <v>1</v>
      </c>
      <c r="F27">
        <v>23</v>
      </c>
      <c r="G27" s="27" t="s">
        <v>248</v>
      </c>
    </row>
    <row r="28" spans="2:7" x14ac:dyDescent="0.25">
      <c r="B28" t="s">
        <v>269</v>
      </c>
      <c r="C28" t="s">
        <v>162</v>
      </c>
      <c r="D28" t="s">
        <v>268</v>
      </c>
      <c r="E28">
        <v>1</v>
      </c>
      <c r="F28">
        <v>24</v>
      </c>
    </row>
    <row r="29" spans="2:7" x14ac:dyDescent="0.25">
      <c r="B29" t="s">
        <v>269</v>
      </c>
      <c r="C29" t="s">
        <v>12</v>
      </c>
      <c r="D29" t="s">
        <v>268</v>
      </c>
      <c r="E29">
        <v>1</v>
      </c>
      <c r="F29">
        <v>25</v>
      </c>
      <c r="G29" s="27" t="s">
        <v>249</v>
      </c>
    </row>
    <row r="30" spans="2:7" x14ac:dyDescent="0.25">
      <c r="B30" t="s">
        <v>269</v>
      </c>
      <c r="C30" t="s">
        <v>198</v>
      </c>
      <c r="D30" t="s">
        <v>268</v>
      </c>
      <c r="E30">
        <v>1</v>
      </c>
      <c r="F30">
        <v>26</v>
      </c>
      <c r="G30" s="27" t="s">
        <v>250</v>
      </c>
    </row>
    <row r="31" spans="2:7" x14ac:dyDescent="0.25">
      <c r="B31" t="s">
        <v>269</v>
      </c>
      <c r="C31" t="s">
        <v>223</v>
      </c>
      <c r="D31" t="s">
        <v>268</v>
      </c>
      <c r="E31">
        <v>1</v>
      </c>
      <c r="F31">
        <v>27</v>
      </c>
      <c r="G31" s="27" t="s">
        <v>251</v>
      </c>
    </row>
    <row r="32" spans="2:7" x14ac:dyDescent="0.25">
      <c r="B32" t="s">
        <v>269</v>
      </c>
      <c r="C32" t="s">
        <v>199</v>
      </c>
      <c r="D32" t="s">
        <v>268</v>
      </c>
      <c r="E32">
        <v>1</v>
      </c>
      <c r="F32">
        <v>28</v>
      </c>
      <c r="G32" t="s">
        <v>252</v>
      </c>
    </row>
    <row r="33" spans="2:7" x14ac:dyDescent="0.25">
      <c r="B33" t="s">
        <v>269</v>
      </c>
      <c r="C33" t="s">
        <v>200</v>
      </c>
      <c r="D33" t="s">
        <v>268</v>
      </c>
      <c r="E33">
        <v>1</v>
      </c>
      <c r="F33">
        <v>29</v>
      </c>
      <c r="G33" s="27" t="s">
        <v>253</v>
      </c>
    </row>
    <row r="34" spans="2:7" x14ac:dyDescent="0.25">
      <c r="B34" t="s">
        <v>269</v>
      </c>
      <c r="C34" t="s">
        <v>201</v>
      </c>
      <c r="D34" t="s">
        <v>268</v>
      </c>
      <c r="E34">
        <v>1</v>
      </c>
      <c r="F34">
        <v>30</v>
      </c>
      <c r="G34" s="27" t="s">
        <v>254</v>
      </c>
    </row>
    <row r="35" spans="2:7" x14ac:dyDescent="0.25">
      <c r="B35" t="s">
        <v>269</v>
      </c>
      <c r="C35" t="s">
        <v>202</v>
      </c>
      <c r="D35" t="s">
        <v>268</v>
      </c>
      <c r="E35">
        <v>1</v>
      </c>
      <c r="F35">
        <v>31</v>
      </c>
      <c r="G35" s="27" t="s">
        <v>255</v>
      </c>
    </row>
    <row r="36" spans="2:7" x14ac:dyDescent="0.25">
      <c r="B36" t="s">
        <v>269</v>
      </c>
      <c r="C36" t="s">
        <v>203</v>
      </c>
      <c r="D36" t="s">
        <v>268</v>
      </c>
      <c r="E36">
        <v>1</v>
      </c>
      <c r="F36">
        <v>32</v>
      </c>
      <c r="G36" s="27" t="s">
        <v>256</v>
      </c>
    </row>
    <row r="37" spans="2:7" x14ac:dyDescent="0.25">
      <c r="B37" t="s">
        <v>269</v>
      </c>
      <c r="C37" t="s">
        <v>204</v>
      </c>
      <c r="D37" t="s">
        <v>268</v>
      </c>
      <c r="E37">
        <v>1</v>
      </c>
      <c r="F37">
        <v>33</v>
      </c>
      <c r="G37" s="27" t="s">
        <v>257</v>
      </c>
    </row>
    <row r="38" spans="2:7" x14ac:dyDescent="0.25">
      <c r="B38" t="s">
        <v>269</v>
      </c>
      <c r="C38" t="s">
        <v>205</v>
      </c>
      <c r="D38" t="s">
        <v>268</v>
      </c>
      <c r="E38">
        <v>1</v>
      </c>
      <c r="F38">
        <v>34</v>
      </c>
    </row>
    <row r="39" spans="2:7" x14ac:dyDescent="0.25">
      <c r="B39" t="s">
        <v>269</v>
      </c>
      <c r="C39" t="s">
        <v>206</v>
      </c>
      <c r="D39" t="s">
        <v>268</v>
      </c>
      <c r="E39">
        <v>1</v>
      </c>
      <c r="F39">
        <v>35</v>
      </c>
      <c r="G39" s="27" t="s">
        <v>258</v>
      </c>
    </row>
    <row r="40" spans="2:7" x14ac:dyDescent="0.25">
      <c r="B40" t="s">
        <v>269</v>
      </c>
      <c r="C40" t="s">
        <v>207</v>
      </c>
      <c r="D40" t="s">
        <v>268</v>
      </c>
      <c r="E40">
        <v>1</v>
      </c>
      <c r="F40">
        <v>36</v>
      </c>
      <c r="G40" s="27" t="s">
        <v>255</v>
      </c>
    </row>
    <row r="41" spans="2:7" x14ac:dyDescent="0.25">
      <c r="B41" t="s">
        <v>269</v>
      </c>
      <c r="C41" t="s">
        <v>208</v>
      </c>
      <c r="D41" t="s">
        <v>268</v>
      </c>
      <c r="E41">
        <v>1</v>
      </c>
      <c r="F41">
        <v>37</v>
      </c>
      <c r="G41" s="27" t="s">
        <v>259</v>
      </c>
    </row>
    <row r="42" spans="2:7" x14ac:dyDescent="0.25">
      <c r="B42" t="s">
        <v>269</v>
      </c>
      <c r="C42" t="s">
        <v>209</v>
      </c>
      <c r="D42" t="s">
        <v>268</v>
      </c>
      <c r="E42">
        <v>1</v>
      </c>
      <c r="F42">
        <v>38</v>
      </c>
      <c r="G42" s="27" t="s">
        <v>260</v>
      </c>
    </row>
    <row r="43" spans="2:7" x14ac:dyDescent="0.25">
      <c r="B43" t="s">
        <v>269</v>
      </c>
      <c r="C43" t="s">
        <v>220</v>
      </c>
      <c r="D43" t="s">
        <v>268</v>
      </c>
      <c r="E43">
        <v>1</v>
      </c>
      <c r="F43">
        <v>39</v>
      </c>
      <c r="G43" s="27" t="s">
        <v>261</v>
      </c>
    </row>
    <row r="44" spans="2:7" x14ac:dyDescent="0.25">
      <c r="B44" t="s">
        <v>269</v>
      </c>
      <c r="C44" t="s">
        <v>218</v>
      </c>
      <c r="D44" t="s">
        <v>268</v>
      </c>
      <c r="E44">
        <v>1</v>
      </c>
      <c r="F44">
        <v>40</v>
      </c>
      <c r="G44" s="27" t="s">
        <v>262</v>
      </c>
    </row>
  </sheetData>
  <sheetProtection sheet="1" objects="1" scenario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ApplyComments">
                <anchor moveWithCells="1" sizeWithCells="1">
                  <from>
                    <xdr:col>1</xdr:col>
                    <xdr:colOff>0</xdr:colOff>
                    <xdr:row>1</xdr:row>
                    <xdr:rowOff>0</xdr:rowOff>
                  </from>
                  <to>
                    <xdr:col>2</xdr:col>
                    <xdr:colOff>781050</xdr:colOff>
                    <xdr:row>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ditNotionalWeights"/>
  <dimension ref="A1"/>
  <sheetViews>
    <sheetView showGridLines="0" showRowColHeaders="0" workbookViewId="0"/>
  </sheetViews>
  <sheetFormatPr defaultRowHeight="15" x14ac:dyDescent="0.25"/>
  <sheetData/>
  <sheetProtection sheet="1" objects="1" scenario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OKButton">
                <anchor>
                  <from>
                    <xdr:col>0</xdr:col>
                    <xdr:colOff>180975</xdr:colOff>
                    <xdr:row>1</xdr:row>
                    <xdr:rowOff>171450</xdr:rowOff>
                  </from>
                  <to>
                    <xdr:col>1</xdr:col>
                    <xdr:colOff>361950</xdr:colOff>
                    <xdr:row>3</xdr:row>
                    <xdr:rowOff>171450</xdr:rowOff>
                  </to>
                </anchor>
              </controlPr>
            </control>
          </mc:Choice>
        </mc:AlternateContent>
        <mc:AlternateContent xmlns:mc="http://schemas.openxmlformats.org/markup-compatibility/2006">
          <mc:Choice Requires="x14">
            <control shapeId="4098" r:id="rId4" name="Button 2">
              <controlPr defaultSize="0" print="0" autoFill="0" autoPict="0" macro="[0]!CancelButton">
                <anchor>
                  <from>
                    <xdr:col>2</xdr:col>
                    <xdr:colOff>133350</xdr:colOff>
                    <xdr:row>1</xdr:row>
                    <xdr:rowOff>171450</xdr:rowOff>
                  </from>
                  <to>
                    <xdr:col>3</xdr:col>
                    <xdr:colOff>304800</xdr:colOff>
                    <xdr:row>3</xdr:row>
                    <xdr:rowOff>171450</xdr:rowOff>
                  </to>
                </anchor>
              </controlPr>
            </control>
          </mc:Choice>
        </mc:AlternateContent>
        <mc:AlternateContent xmlns:mc="http://schemas.openxmlformats.org/markup-compatibility/2006">
          <mc:Choice Requires="x14">
            <control shapeId="4099" r:id="rId5" name="Button 3">
              <controlPr defaultSize="0" print="0" autoFill="0" autoPict="0" macro="[0]!HelpButton">
                <anchor>
                  <from>
                    <xdr:col>4</xdr:col>
                    <xdr:colOff>133350</xdr:colOff>
                    <xdr:row>1</xdr:row>
                    <xdr:rowOff>171450</xdr:rowOff>
                  </from>
                  <to>
                    <xdr:col>5</xdr:col>
                    <xdr:colOff>304800</xdr:colOff>
                    <xdr:row>3</xdr:row>
                    <xdr:rowOff>171450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Audit"/>
  <dimension ref="A1:E37"/>
  <sheetViews>
    <sheetView showGridLines="0" showRowColHeaders="0" zoomScaleNormal="100" workbookViewId="0"/>
  </sheetViews>
  <sheetFormatPr defaultRowHeight="15" x14ac:dyDescent="0.25"/>
  <cols>
    <col min="1" max="1" width="7.85546875" customWidth="1"/>
    <col min="2" max="2" width="12" bestFit="1" customWidth="1"/>
    <col min="3" max="3" width="5.5703125" customWidth="1"/>
    <col min="4" max="4" width="14.85546875" customWidth="1"/>
    <col min="5" max="5" width="155.7109375" bestFit="1" customWidth="1"/>
  </cols>
  <sheetData>
    <row r="1" spans="1:5" ht="28.5" x14ac:dyDescent="0.45">
      <c r="A1" s="7" t="s">
        <v>169</v>
      </c>
    </row>
    <row r="5" spans="1:5" x14ac:dyDescent="0.25">
      <c r="A5" s="8" t="s">
        <v>163</v>
      </c>
      <c r="B5" s="9" t="s">
        <v>164</v>
      </c>
      <c r="C5" s="69" t="s">
        <v>165</v>
      </c>
      <c r="D5" s="64" t="s">
        <v>166</v>
      </c>
      <c r="E5" s="10" t="s">
        <v>167</v>
      </c>
    </row>
    <row r="6" spans="1:5" x14ac:dyDescent="0.25">
      <c r="A6" s="68">
        <v>32</v>
      </c>
      <c r="B6" s="12">
        <v>44638</v>
      </c>
      <c r="C6" s="70">
        <v>0.67915509259182727</v>
      </c>
      <c r="D6" s="65" t="s">
        <v>168</v>
      </c>
      <c r="E6" s="13" t="s">
        <v>303</v>
      </c>
    </row>
    <row r="7" spans="1:5" x14ac:dyDescent="0.25">
      <c r="A7" s="63">
        <v>31</v>
      </c>
      <c r="B7" s="12">
        <v>44633</v>
      </c>
      <c r="C7" s="70">
        <v>0.78059027777635492</v>
      </c>
      <c r="D7" s="65" t="s">
        <v>168</v>
      </c>
      <c r="E7" s="17" t="s">
        <v>302</v>
      </c>
    </row>
    <row r="8" spans="1:5" x14ac:dyDescent="0.25">
      <c r="A8" s="63">
        <v>30</v>
      </c>
      <c r="B8" s="12">
        <v>44586</v>
      </c>
      <c r="C8" s="70">
        <v>0.51839120370277669</v>
      </c>
      <c r="D8" s="65" t="s">
        <v>168</v>
      </c>
      <c r="E8" s="17" t="s">
        <v>301</v>
      </c>
    </row>
    <row r="9" spans="1:5" x14ac:dyDescent="0.25">
      <c r="A9" s="63">
        <v>29</v>
      </c>
      <c r="B9" s="12">
        <v>44586</v>
      </c>
      <c r="C9" s="70">
        <v>0.50202546296350192</v>
      </c>
      <c r="D9" s="65" t="s">
        <v>168</v>
      </c>
      <c r="E9" s="17" t="s">
        <v>299</v>
      </c>
    </row>
    <row r="10" spans="1:5" x14ac:dyDescent="0.25">
      <c r="A10" s="63">
        <v>28</v>
      </c>
      <c r="B10" s="12">
        <v>44586</v>
      </c>
      <c r="C10" s="70">
        <v>0.49042824074422242</v>
      </c>
      <c r="D10" s="65" t="s">
        <v>168</v>
      </c>
      <c r="E10" s="17" t="s">
        <v>298</v>
      </c>
    </row>
    <row r="11" spans="1:5" x14ac:dyDescent="0.25">
      <c r="A11" s="63">
        <v>27</v>
      </c>
      <c r="B11" s="12">
        <v>44586</v>
      </c>
      <c r="C11" s="70">
        <v>0.42991898148466134</v>
      </c>
      <c r="D11" s="65" t="s">
        <v>168</v>
      </c>
      <c r="E11" s="17" t="s">
        <v>297</v>
      </c>
    </row>
    <row r="12" spans="1:5" x14ac:dyDescent="0.25">
      <c r="A12" s="63">
        <v>26</v>
      </c>
      <c r="B12" s="12">
        <v>44184</v>
      </c>
      <c r="C12" s="70">
        <v>0.80388888889137888</v>
      </c>
      <c r="D12" s="65" t="s">
        <v>168</v>
      </c>
      <c r="E12" s="17" t="s">
        <v>275</v>
      </c>
    </row>
    <row r="13" spans="1:5" ht="90" x14ac:dyDescent="0.25">
      <c r="A13" s="11">
        <v>25</v>
      </c>
      <c r="B13" s="12">
        <v>42790</v>
      </c>
      <c r="C13" s="70">
        <v>0.51108796296466608</v>
      </c>
      <c r="D13" s="65" t="s">
        <v>168</v>
      </c>
      <c r="E13" s="13" t="s">
        <v>274</v>
      </c>
    </row>
    <row r="14" spans="1:5" x14ac:dyDescent="0.25">
      <c r="A14" s="11">
        <v>24</v>
      </c>
      <c r="B14" s="12">
        <v>42758</v>
      </c>
      <c r="C14" s="70">
        <v>0.47456018518278142</v>
      </c>
      <c r="D14" s="65" t="s">
        <v>168</v>
      </c>
      <c r="E14" s="17" t="s">
        <v>273</v>
      </c>
    </row>
    <row r="15" spans="1:5" x14ac:dyDescent="0.25">
      <c r="A15" s="11">
        <v>23</v>
      </c>
      <c r="B15" s="12">
        <v>42756</v>
      </c>
      <c r="C15" s="70">
        <v>0.63038194444379769</v>
      </c>
      <c r="D15" s="65" t="s">
        <v>168</v>
      </c>
      <c r="E15" s="17" t="s">
        <v>271</v>
      </c>
    </row>
    <row r="16" spans="1:5" x14ac:dyDescent="0.25">
      <c r="A16" s="11">
        <v>22</v>
      </c>
      <c r="B16" s="12">
        <v>42755</v>
      </c>
      <c r="C16" s="70">
        <v>0.48537037037021946</v>
      </c>
      <c r="D16" s="65" t="s">
        <v>168</v>
      </c>
      <c r="E16" s="13" t="s">
        <v>227</v>
      </c>
    </row>
    <row r="17" spans="1:5" x14ac:dyDescent="0.25">
      <c r="A17" s="11">
        <v>21</v>
      </c>
      <c r="B17" s="12">
        <v>42752</v>
      </c>
      <c r="C17" s="70">
        <v>0.61836805555503815</v>
      </c>
      <c r="D17" s="65" t="s">
        <v>168</v>
      </c>
      <c r="E17" s="13" t="s">
        <v>222</v>
      </c>
    </row>
    <row r="18" spans="1:5" x14ac:dyDescent="0.25">
      <c r="A18" s="11">
        <v>20</v>
      </c>
      <c r="B18" s="12">
        <v>42748</v>
      </c>
      <c r="C18" s="70">
        <v>0.4701620370396995</v>
      </c>
      <c r="D18" s="65" t="s">
        <v>168</v>
      </c>
      <c r="E18" s="17" t="s">
        <v>221</v>
      </c>
    </row>
    <row r="19" spans="1:5" x14ac:dyDescent="0.25">
      <c r="A19" s="11">
        <v>19</v>
      </c>
      <c r="B19" s="12">
        <v>42748</v>
      </c>
      <c r="C19" s="70">
        <v>0.42216435185400769</v>
      </c>
      <c r="D19" s="65" t="s">
        <v>168</v>
      </c>
      <c r="E19" s="17" t="s">
        <v>219</v>
      </c>
    </row>
    <row r="20" spans="1:5" x14ac:dyDescent="0.25">
      <c r="A20" s="11">
        <v>18</v>
      </c>
      <c r="B20" s="12">
        <v>42747</v>
      </c>
      <c r="C20" s="70">
        <v>0.60240740740846377</v>
      </c>
      <c r="D20" s="65" t="s">
        <v>168</v>
      </c>
      <c r="E20" s="13" t="s">
        <v>217</v>
      </c>
    </row>
    <row r="21" spans="1:5" ht="30" x14ac:dyDescent="0.25">
      <c r="A21" s="11">
        <v>17</v>
      </c>
      <c r="B21" s="12">
        <v>42746</v>
      </c>
      <c r="C21" s="70">
        <v>0.791539351848769</v>
      </c>
      <c r="D21" s="65" t="s">
        <v>168</v>
      </c>
      <c r="E21" s="13" t="s">
        <v>216</v>
      </c>
    </row>
    <row r="22" spans="1:5" x14ac:dyDescent="0.25">
      <c r="A22" s="11">
        <v>16</v>
      </c>
      <c r="B22" s="12">
        <v>42746</v>
      </c>
      <c r="C22" s="70">
        <v>0.50906250000116415</v>
      </c>
      <c r="D22" s="65" t="s">
        <v>168</v>
      </c>
      <c r="E22" s="17" t="s">
        <v>213</v>
      </c>
    </row>
    <row r="23" spans="1:5" ht="30" x14ac:dyDescent="0.25">
      <c r="A23" s="11">
        <v>15</v>
      </c>
      <c r="B23" s="12">
        <v>42746</v>
      </c>
      <c r="C23" s="70">
        <v>0.49112268518365454</v>
      </c>
      <c r="D23" s="65" t="s">
        <v>168</v>
      </c>
      <c r="E23" s="13" t="s">
        <v>197</v>
      </c>
    </row>
    <row r="24" spans="1:5" ht="30" x14ac:dyDescent="0.25">
      <c r="A24" s="11">
        <v>14</v>
      </c>
      <c r="B24" s="12">
        <v>42718</v>
      </c>
      <c r="C24" s="70">
        <v>0.69709490740933688</v>
      </c>
      <c r="D24" s="65" t="s">
        <v>168</v>
      </c>
      <c r="E24" s="13" t="s">
        <v>196</v>
      </c>
    </row>
    <row r="25" spans="1:5" ht="30" x14ac:dyDescent="0.25">
      <c r="A25" s="11">
        <v>13</v>
      </c>
      <c r="B25" s="12">
        <v>42718</v>
      </c>
      <c r="C25" s="70">
        <v>0.69090277778013842</v>
      </c>
      <c r="D25" s="65" t="s">
        <v>168</v>
      </c>
      <c r="E25" s="13" t="s">
        <v>195</v>
      </c>
    </row>
    <row r="26" spans="1:5" ht="30" x14ac:dyDescent="0.25">
      <c r="A26" s="11">
        <v>12</v>
      </c>
      <c r="B26" s="12">
        <v>42716</v>
      </c>
      <c r="C26" s="70">
        <v>0.54376157407386927</v>
      </c>
      <c r="D26" s="65" t="s">
        <v>168</v>
      </c>
      <c r="E26" s="13" t="s">
        <v>194</v>
      </c>
    </row>
    <row r="27" spans="1:5" x14ac:dyDescent="0.25">
      <c r="A27" s="11">
        <v>11</v>
      </c>
      <c r="B27" s="12">
        <v>42716</v>
      </c>
      <c r="C27" s="70">
        <v>0.45673611111124046</v>
      </c>
      <c r="D27" s="65" t="s">
        <v>192</v>
      </c>
      <c r="E27" s="17" t="s">
        <v>193</v>
      </c>
    </row>
    <row r="28" spans="1:5" x14ac:dyDescent="0.25">
      <c r="A28" s="11">
        <v>10</v>
      </c>
      <c r="B28" s="12">
        <v>42702</v>
      </c>
      <c r="C28" s="70">
        <v>0.47432870370539604</v>
      </c>
      <c r="D28" s="65" t="s">
        <v>168</v>
      </c>
      <c r="E28" s="17" t="s">
        <v>191</v>
      </c>
    </row>
    <row r="29" spans="1:5" x14ac:dyDescent="0.25">
      <c r="A29" s="11">
        <v>9</v>
      </c>
      <c r="B29" s="12">
        <v>42691</v>
      </c>
      <c r="C29" s="70">
        <v>0.68461805555853061</v>
      </c>
      <c r="D29" s="65" t="s">
        <v>168</v>
      </c>
      <c r="E29" s="13" t="s">
        <v>190</v>
      </c>
    </row>
    <row r="30" spans="1:5" x14ac:dyDescent="0.25">
      <c r="A30" s="11">
        <v>8</v>
      </c>
      <c r="B30" s="12">
        <v>42691</v>
      </c>
      <c r="C30" s="70">
        <v>0.66403935185371665</v>
      </c>
      <c r="D30" s="65" t="s">
        <v>168</v>
      </c>
      <c r="E30" s="17" t="s">
        <v>188</v>
      </c>
    </row>
    <row r="31" spans="1:5" ht="30" x14ac:dyDescent="0.25">
      <c r="A31" s="11">
        <v>7</v>
      </c>
      <c r="B31" s="12">
        <v>42691</v>
      </c>
      <c r="C31" s="70">
        <v>0.48471064814657439</v>
      </c>
      <c r="D31" s="65" t="s">
        <v>168</v>
      </c>
      <c r="E31" s="13" t="s">
        <v>187</v>
      </c>
    </row>
    <row r="32" spans="1:5" x14ac:dyDescent="0.25">
      <c r="A32" s="11">
        <v>6</v>
      </c>
      <c r="B32" s="12">
        <v>42691</v>
      </c>
      <c r="C32" s="70">
        <v>0.45997685185284354</v>
      </c>
      <c r="D32" s="65" t="s">
        <v>168</v>
      </c>
      <c r="E32" s="17" t="s">
        <v>186</v>
      </c>
    </row>
    <row r="33" spans="1:5" x14ac:dyDescent="0.25">
      <c r="A33" s="11">
        <v>5</v>
      </c>
      <c r="B33" s="12">
        <v>42690</v>
      </c>
      <c r="C33" s="70">
        <v>0.52406250000058208</v>
      </c>
      <c r="D33" s="65" t="s">
        <v>168</v>
      </c>
      <c r="E33" s="13" t="s">
        <v>185</v>
      </c>
    </row>
    <row r="34" spans="1:5" ht="30" x14ac:dyDescent="0.25">
      <c r="A34" s="11">
        <v>4</v>
      </c>
      <c r="B34" s="12">
        <v>42690</v>
      </c>
      <c r="C34" s="70">
        <v>0.50031250000029104</v>
      </c>
      <c r="D34" s="65" t="s">
        <v>168</v>
      </c>
      <c r="E34" s="13" t="s">
        <v>184</v>
      </c>
    </row>
    <row r="35" spans="1:5" x14ac:dyDescent="0.25">
      <c r="A35" s="11">
        <v>3</v>
      </c>
      <c r="B35" s="12">
        <v>42688</v>
      </c>
      <c r="C35" s="70">
        <v>0.70203703703737119</v>
      </c>
      <c r="D35" s="65" t="s">
        <v>168</v>
      </c>
      <c r="E35" s="17" t="s">
        <v>182</v>
      </c>
    </row>
    <row r="36" spans="1:5" ht="30" x14ac:dyDescent="0.25">
      <c r="A36" s="11">
        <v>2</v>
      </c>
      <c r="B36" s="12">
        <v>42688</v>
      </c>
      <c r="C36" s="70">
        <v>0.56616898148058681</v>
      </c>
      <c r="D36" s="65" t="s">
        <v>168</v>
      </c>
      <c r="E36" s="13" t="s">
        <v>181</v>
      </c>
    </row>
    <row r="37" spans="1:5" ht="90" x14ac:dyDescent="0.25">
      <c r="A37" s="14">
        <v>1</v>
      </c>
      <c r="B37" s="15">
        <v>42683</v>
      </c>
      <c r="C37" s="71">
        <v>0.60857638889137888</v>
      </c>
      <c r="D37" s="66" t="s">
        <v>168</v>
      </c>
      <c r="E37" s="16" t="s">
        <v>170</v>
      </c>
    </row>
  </sheetData>
  <sheetProtection sheet="1" objects="1" scenarios="1"/>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1]!AuditMenu">
                <anchor moveWithCells="1" sizeWithCells="1">
                  <from>
                    <xdr:col>0</xdr:col>
                    <xdr:colOff>0</xdr:colOff>
                    <xdr:row>1</xdr:row>
                    <xdr:rowOff>0</xdr:rowOff>
                  </from>
                  <to>
                    <xdr:col>2</xdr:col>
                    <xdr:colOff>0</xdr:colOff>
                    <xdr:row>3</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Summary</vt:lpstr>
      <vt:lpstr>Comments</vt:lpstr>
      <vt:lpstr>EditNotionalWeights</vt:lpstr>
      <vt:lpstr>Audit</vt:lpstr>
      <vt:lpstr>Audit!Headers</vt:lpstr>
      <vt:lpstr>Headers</vt:lpstr>
      <vt:lpstr>Comments!TheDataWithHeaders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Guy Seknadje</dc:creator>
  <cp:lastModifiedBy>Philip Swannell</cp:lastModifiedBy>
  <cp:lastPrinted>2016-10-04T11:19:31Z</cp:lastPrinted>
  <dcterms:created xsi:type="dcterms:W3CDTF">2016-07-27T17:10:44Z</dcterms:created>
  <dcterms:modified xsi:type="dcterms:W3CDTF">2022-03-18T16:21:41Z</dcterms:modified>
</cp:coreProperties>
</file>